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tutaj" sheetId="1" state="visible" r:id="rId1"/>
    <sheet xmlns:r="http://schemas.openxmlformats.org/officeDocument/2006/relationships" name="Lista firm" sheetId="2" state="visible" r:id="rId2"/>
    <sheet xmlns:r="http://schemas.openxmlformats.org/officeDocument/2006/relationships" name="Segmenty" sheetId="3" state="visible" r:id="rId3"/>
    <sheet xmlns:r="http://schemas.openxmlformats.org/officeDocument/2006/relationships" name="Google Maps Warszawa" sheetId="4" state="visible" r:id="rId4"/>
    <sheet xmlns:r="http://schemas.openxmlformats.org/officeDocument/2006/relationships" name="Plan tygodnia" sheetId="5" state="visible" r:id="rId5"/>
    <sheet xmlns:r="http://schemas.openxmlformats.org/officeDocument/2006/relationships" name="Pre-flight" sheetId="6" state="visible" r:id="rId6"/>
    <sheet xmlns:r="http://schemas.openxmlformats.org/officeDocument/2006/relationships" name="Metryki" sheetId="7" state="visible" r:id="rId7"/>
  </sheets>
  <definedNames>
    <definedName name="_xlnm._FilterDatabase" localSheetId="1" hidden="1">'Lista firm'!$A$1:$T$1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%"/>
    <numFmt numFmtId="167" formatCode="yyyy-mm-dd"/>
  </numFmts>
  <fonts count="22">
    <font>
      <name val="Calibri"/>
      <family val="2"/>
      <color theme="1"/>
      <sz val="11"/>
      <scheme val="minor"/>
    </font>
    <font>
      <name val="Arial"/>
      <b val="1"/>
      <strike val="0"/>
      <color rgb="001F4E5C"/>
      <sz val="22"/>
    </font>
    <font>
      <name val="Arial"/>
      <i val="1"/>
      <strike val="0"/>
      <color rgb="00555555"/>
      <sz val="11"/>
    </font>
    <font>
      <name val="Arial"/>
      <b val="1"/>
      <strike val="0"/>
      <color rgb="00FFFFFF"/>
      <sz val="13"/>
    </font>
    <font>
      <name val="Arial"/>
      <b val="1"/>
      <strike val="0"/>
      <color rgb="001F4E5C"/>
      <sz val="12"/>
    </font>
    <font>
      <name val="Arial"/>
      <strike val="0"/>
      <color rgb="00000000"/>
      <sz val="11"/>
    </font>
    <font>
      <name val="Arial"/>
      <b val="1"/>
      <strike val="0"/>
      <color rgb="00FFFFFF"/>
      <sz val="12"/>
    </font>
    <font>
      <name val="Arial"/>
      <b val="1"/>
      <strike val="0"/>
      <color rgb="001F4E5C"/>
      <sz val="18"/>
    </font>
    <font>
      <name val="Arial"/>
      <b val="1"/>
      <strike val="0"/>
      <color rgb="00000000"/>
      <sz val="12"/>
    </font>
    <font>
      <name val="Arial"/>
      <strike val="0"/>
      <color rgb="00000000"/>
      <sz val="12"/>
    </font>
    <font>
      <name val="Arial"/>
      <i val="1"/>
      <strike val="0"/>
      <color rgb="00B71C1C"/>
      <sz val="11"/>
    </font>
    <font>
      <name val="Arial"/>
      <b val="1"/>
      <strike val="0"/>
      <color rgb="001F4E5C"/>
      <sz val="17"/>
    </font>
    <font>
      <name val="Arial"/>
      <strike val="0"/>
      <color rgb="000B5394"/>
      <sz val="10"/>
    </font>
    <font>
      <name val="Arial"/>
      <strike val="0"/>
      <color rgb="00000000"/>
      <sz val="10"/>
    </font>
    <font>
      <name val="Arial"/>
      <b val="1"/>
      <strike val="0"/>
      <color rgb="001F4E5C"/>
      <sz val="11"/>
    </font>
    <font>
      <name val="Arial"/>
      <b val="1"/>
      <strike val="0"/>
      <color rgb="00000000"/>
      <sz val="11"/>
    </font>
    <font>
      <name val="Arial"/>
      <b val="1"/>
      <strike val="0"/>
      <color rgb="0034A853"/>
      <sz val="16"/>
    </font>
    <font>
      <name val="Arial"/>
      <i val="1"/>
      <strike val="0"/>
      <color rgb="00555555"/>
      <sz val="10"/>
    </font>
    <font>
      <name val="Arial"/>
      <b val="1"/>
      <strike val="0"/>
      <color rgb="00F4B400"/>
      <sz val="14"/>
    </font>
    <font>
      <name val="Arial"/>
      <b val="1"/>
      <strike val="0"/>
      <color rgb="00B71C1C"/>
      <sz val="20"/>
    </font>
    <font>
      <name val="Arial"/>
      <b val="1"/>
      <strike val="0"/>
      <color rgb="00B71C1C"/>
      <sz val="12"/>
    </font>
    <font>
      <name val="Arial"/>
      <b val="1"/>
      <strike val="0"/>
      <color rgb="001F4E5C"/>
      <sz val="16"/>
    </font>
  </fonts>
  <fills count="6">
    <fill>
      <patternFill/>
    </fill>
    <fill>
      <patternFill patternType="gray125"/>
    </fill>
    <fill>
      <patternFill patternType="solid">
        <fgColor rgb="002E7D8A"/>
        <bgColor rgb="002E7D8A"/>
      </patternFill>
    </fill>
    <fill>
      <patternFill patternType="solid">
        <fgColor rgb="00FFF3CD"/>
        <bgColor rgb="00FFF3CD"/>
      </patternFill>
    </fill>
    <fill>
      <patternFill patternType="solid">
        <fgColor rgb="001F4E5C"/>
        <bgColor rgb="001F4E5C"/>
      </patternFill>
    </fill>
    <fill>
      <patternFill patternType="solid">
        <fgColor rgb="00F5F7FA"/>
        <bgColor rgb="00F5F7FA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left" vertical="center" wrapText="1"/>
    </xf>
    <xf numFmtId="1" fontId="21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FF3CD"/>
          <bgColor rgb="00FFF3CD"/>
        </patternFill>
      </fill>
    </dxf>
    <dxf>
      <fill>
        <patternFill patternType="solid">
          <fgColor rgb="00F8D7DA"/>
          <bgColor rgb="00F8D7DA"/>
        </patternFill>
      </fill>
    </dxf>
    <dxf>
      <font>
        <name val="Arial"/>
        <b val="1"/>
        <color rgb="001B5E20"/>
        <sz val="11"/>
      </font>
      <fill>
        <patternFill patternType="solid">
          <fgColor rgb="00A5D6A7"/>
          <bgColor rgb="00A5D6A7"/>
        </patternFill>
      </fill>
    </dxf>
    <dxf>
      <font>
        <name val="Arial"/>
        <strike val="1"/>
        <color rgb="00757575"/>
        <sz val="11"/>
      </font>
      <fill>
        <patternFill patternType="solid">
          <fgColor rgb="00E0E0E0"/>
          <bgColor rgb="00E0E0E0"/>
        </patternFill>
      </fill>
    </dxf>
    <dxf>
      <font>
        <name val="Arial"/>
        <b val="1"/>
        <color rgb="00B71C1C"/>
        <sz val="11"/>
      </font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5" customWidth="1" min="2" max="2"/>
  </cols>
  <sheetData>
    <row r="2">
      <c r="B2" s="1" t="inlineStr">
        <is>
          <t>MapJob - Warszawa B2B Cold-Calling CRM</t>
        </is>
      </c>
    </row>
    <row r="3">
      <c r="B3" s="2" t="inlineStr">
        <is>
          <t>Gotowy CRM do telefonowania - nauczysz sie obslugi w 10 min, wypelnisz w 60 min.</t>
        </is>
      </c>
    </row>
    <row r="5">
      <c r="B5" s="3" t="inlineStr">
        <is>
          <t>Jak uzywac tego pliku (5 krokow, 60 minut)</t>
        </is>
      </c>
    </row>
    <row r="6" ht="22" customHeight="1">
      <c r="B6" s="4" t="inlineStr">
        <is>
          <t>1. Wybierz segment (5 min)</t>
        </is>
      </c>
    </row>
    <row r="7" ht="45" customHeight="1">
      <c r="B7" s="5" t="inlineStr">
        <is>
          <t>Przejdz do arkusza [Segmenty] - zobaczysz 4 segmenty z priorytetem. W pierwszym tygodniu dzwonisz TYLKO do jednego. Rekomendacja: Zarzadcy nieruchomosci (5 gwiazdek priorytetu).</t>
        </is>
      </c>
    </row>
    <row r="8" ht="22" customHeight="1">
      <c r="B8" s="4" t="inlineStr">
        <is>
          <t>2. Otworz gotowe zapytania Google Maps (20 min)</t>
        </is>
      </c>
    </row>
    <row r="9" ht="45" customHeight="1">
      <c r="B9" s="5" t="inlineStr">
        <is>
          <t>Arkusz [Google Maps Warszawa] ma 72 klikalne linki (18 dzielnic x 4 segmenty). Klikasz - Google Maps otwiera wyszukiwanie - kopiujesz dane firmy do arkusza [Lista firm].</t>
        </is>
      </c>
    </row>
    <row r="10" ht="22" customHeight="1">
      <c r="B10" s="4" t="inlineStr">
        <is>
          <t>3. Wpisz firmy do arkusza [Lista firm] (30 min)</t>
        </is>
      </c>
    </row>
    <row r="11" ht="45" customHeight="1">
      <c r="B11" s="5" t="inlineStr">
        <is>
          <t>Kolumny maja dropdowny (Segment, Priorytet, Status, Zrodlo, Dzielnica). Nie musisz pamietac opcji - klikasz w komorke, wybierasz z listy. Cel: 50+ firm.</t>
        </is>
      </c>
    </row>
    <row r="12" ht="22" customHeight="1">
      <c r="B12" s="4" t="inlineStr">
        <is>
          <t>4. Oznacz priorytet zielony / zolty / czerwony (5 min)</t>
        </is>
      </c>
    </row>
    <row r="13" ht="45" customHeight="1">
      <c r="B13" s="5" t="inlineStr">
        <is>
          <t>ZIELONY TOP = &gt;20 opinii Google + &gt;4.0 gwiazdki + dzialajaca strona. ZOLTY Sredni = 5-20 opinii LUB 3.5-4.0 gwiazdki. CZERWONY Niski = &lt;5 opinii lub brak strony (pomijasz na start).</t>
        </is>
      </c>
    </row>
    <row r="14" ht="22" customHeight="1">
      <c r="B14" s="4" t="inlineStr">
        <is>
          <t>5. Sprawdz [Pre-flight] i zacznij dzwonic</t>
        </is>
      </c>
    </row>
    <row r="15" ht="45" customHeight="1">
      <c r="B15" s="5" t="inlineStr">
        <is>
          <t>Checklist przed pierwszym telefonem. Gdy wszystko zafajkowane - dzwonisz TYLKO do ZIELONYCH (10 telefonow dzien 1, nie cala liste naraz).</t>
        </is>
      </c>
    </row>
    <row r="17">
      <c r="B17" s="3" t="inlineStr">
        <is>
          <t>UWAGA - czego w tym pliku NIE ma</t>
        </is>
      </c>
    </row>
    <row r="18" ht="90" customHeight="1">
      <c r="B18" s="6" t="inlineStr">
        <is>
          <t>W tym pliku NIE ma gotowej listy firm z Warszawy z numerami telefonow. Celowo - numer wziety z halucynacji AI to numer do losowej osoby, a dzwonienie do losowych osob spali brand MapJob w pierwszym tygodniu. Zamiast tego masz tu 72 gotowe zapytania Google Maps - kopiujesz dane ze zrodla, masz pewnosc ze numer jest aktualny, nic nie zmyslone. 50 firm w 30 min.</t>
        </is>
      </c>
    </row>
    <row r="20">
      <c r="B20" s="3" t="inlineStr">
        <is>
          <t>Cele</t>
        </is>
      </c>
    </row>
    <row r="21">
      <c r="B21" s="7" t="inlineStr">
        <is>
          <t xml:space="preserve">  -  Tydzien 1: zebrac 50 firm (segment 1 = Zarzadcy nieruchomosci), zadzwonic do 10 ZIELONYCH</t>
        </is>
      </c>
    </row>
    <row r="22">
      <c r="B22" s="7" t="inlineStr">
        <is>
          <t xml:space="preserve">  -  Tydzien 2-4: 100-120 rozmow / tydzien = 5-6 nowych firm na MapJob / tydzien</t>
        </is>
      </c>
    </row>
    <row r="23">
      <c r="B23" s="7" t="inlineStr">
        <is>
          <t xml:space="preserve">  -  Miesiac 1: 20-25 zarejestrowanych firm w Warszawie (tylko z telefonow)</t>
        </is>
      </c>
    </row>
    <row r="24">
      <c r="B24" s="7" t="inlineStr">
        <is>
          <t xml:space="preserve">  -  Miesiac 3: 60-75 firm = masz sprawdzony skrypt = czas na skalowanie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2" customWidth="1" min="3" max="3"/>
    <col width="14" customWidth="1" min="4" max="4"/>
    <col width="14" customWidth="1" min="5" max="5"/>
    <col width="15" customWidth="1" min="6" max="6"/>
    <col width="15" customWidth="1" min="7" max="7"/>
    <col width="26" customWidth="1" min="8" max="8"/>
    <col width="28" customWidth="1" min="9" max="9"/>
    <col width="30" customWidth="1" min="10" max="10"/>
    <col width="22" customWidth="1" min="11" max="11"/>
    <col width="20" customWidth="1" min="12" max="12"/>
    <col width="12" customWidth="1" min="13" max="13"/>
    <col width="10" customWidth="1" min="14" max="14"/>
    <col width="14" customWidth="1" min="15" max="15"/>
    <col width="22" customWidth="1" min="16" max="16"/>
    <col width="14" customWidth="1" min="17" max="17"/>
    <col width="14" customWidth="1" min="18" max="18"/>
    <col width="40" customWidth="1" min="19" max="19"/>
    <col width="40" customWidth="1" min="20" max="20"/>
  </cols>
  <sheetData>
    <row r="1" ht="40" customHeight="1">
      <c r="A1" s="8" t="inlineStr">
        <is>
          <t>Lp</t>
        </is>
      </c>
      <c r="B1" s="8" t="inlineStr">
        <is>
          <t>Data dodania</t>
        </is>
      </c>
      <c r="C1" s="8" t="inlineStr">
        <is>
          <t>Nazwa firmy</t>
        </is>
      </c>
      <c r="D1" s="8" t="inlineStr">
        <is>
          <t>Segment</t>
        </is>
      </c>
      <c r="E1" s="8" t="inlineStr">
        <is>
          <t>Priorytet</t>
        </is>
      </c>
      <c r="F1" s="8" t="inlineStr">
        <is>
          <t>Dzielnica</t>
        </is>
      </c>
      <c r="G1" s="8" t="inlineStr">
        <is>
          <t>Telefon</t>
        </is>
      </c>
      <c r="H1" s="8" t="inlineStr">
        <is>
          <t>Email</t>
        </is>
      </c>
      <c r="I1" s="8" t="inlineStr">
        <is>
          <t>Strona www</t>
        </is>
      </c>
      <c r="J1" s="8" t="inlineStr">
        <is>
          <t>Adres</t>
        </is>
      </c>
      <c r="K1" s="8" t="inlineStr">
        <is>
          <t>Osoba kontaktowa</t>
        </is>
      </c>
      <c r="L1" s="8" t="inlineStr">
        <is>
          <t>Stanowisko</t>
        </is>
      </c>
      <c r="M1" s="8" t="inlineStr">
        <is>
          <t>Opinie Google (liczba)</t>
        </is>
      </c>
      <c r="N1" s="8" t="inlineStr">
        <is>
          <t>Gwiazdki Google</t>
        </is>
      </c>
      <c r="O1" s="8" t="inlineStr">
        <is>
          <t>Zrodlo</t>
        </is>
      </c>
      <c r="P1" s="8" t="inlineStr">
        <is>
          <t>Status</t>
        </is>
      </c>
      <c r="Q1" s="8" t="inlineStr">
        <is>
          <t>Data ostatniego kontaktu</t>
        </is>
      </c>
      <c r="R1" s="8" t="inlineStr">
        <is>
          <t>Data follow-up</t>
        </is>
      </c>
      <c r="S1" s="8" t="inlineStr">
        <is>
          <t>Notatki z researchu (90 sek)</t>
        </is>
      </c>
      <c r="T1" s="8" t="inlineStr">
        <is>
          <t>Notatki z rozmowy</t>
        </is>
      </c>
    </row>
    <row r="2" ht="22" customHeight="1">
      <c r="A2" s="9">
        <f>IF(C2="","",ROW()-1)</f>
        <v/>
      </c>
      <c r="B2" s="10" t="n">
        <v>46135</v>
      </c>
      <c r="C2" s="11" t="inlineStr">
        <is>
          <t>Zaklad Gospodarowania Nieruchomosciami w Dzielnicy Mokotow m.st. Warszawy</t>
        </is>
      </c>
      <c r="D2" s="9" t="inlineStr">
        <is>
          <t>Zarzadcy nieruchomosci</t>
        </is>
      </c>
      <c r="E2" s="9" t="inlineStr">
        <is>
          <t>TOP (zielony)</t>
        </is>
      </c>
      <c r="F2" s="9" t="inlineStr">
        <is>
          <t>Mokotow</t>
        </is>
      </c>
      <c r="G2" s="11" t="inlineStr">
        <is>
          <t>+48 22 549 37 00</t>
        </is>
      </c>
      <c r="H2" s="11" t="n"/>
      <c r="I2" s="11" t="n"/>
      <c r="J2" s="11" t="inlineStr">
        <is>
          <t>Irysowa 19</t>
        </is>
      </c>
      <c r="K2" s="11" t="n"/>
      <c r="L2" s="11" t="inlineStr">
        <is>
          <t>Zarzadca / Inspektor nadzoru / Konserwator</t>
        </is>
      </c>
      <c r="M2" s="12" t="n">
        <v>115</v>
      </c>
      <c r="N2" s="13" t="n">
        <v>4</v>
      </c>
      <c r="O2" s="9" t="inlineStr">
        <is>
          <t>Google Maps</t>
        </is>
      </c>
      <c r="P2" s="9" t="inlineStr">
        <is>
          <t>Nowa</t>
        </is>
      </c>
      <c r="Q2" s="10" t="n"/>
      <c r="R2" s="10" t="n"/>
      <c r="S2" s="11" t="inlineStr">
        <is>
          <t>Urzad dzielnicowy - zarzadza nier. komunalnymi Mokotowa. Ogromny klient potencjalny. 4.0 gwiazdki - 115 opinii.</t>
        </is>
      </c>
      <c r="T2" s="11" t="n"/>
    </row>
    <row r="3" ht="22" customHeight="1">
      <c r="A3" s="9">
        <f>IF(C3="","",ROW()-1)</f>
        <v/>
      </c>
      <c r="B3" s="10" t="n">
        <v>46135</v>
      </c>
      <c r="C3" s="11" t="inlineStr">
        <is>
          <t>Emco | Zarzadzanie Nieruchomosciami</t>
        </is>
      </c>
      <c r="D3" s="9" t="inlineStr">
        <is>
          <t>Zarzadcy nieruchomosci</t>
        </is>
      </c>
      <c r="E3" s="9" t="inlineStr">
        <is>
          <t>TOP (zielony)</t>
        </is>
      </c>
      <c r="F3" s="9" t="inlineStr">
        <is>
          <t>Mokotow</t>
        </is>
      </c>
      <c r="G3" s="11" t="inlineStr">
        <is>
          <t>+48 22 406 52 45</t>
        </is>
      </c>
      <c r="H3" s="11" t="n"/>
      <c r="I3" s="11" t="n"/>
      <c r="J3" s="11" t="inlineStr">
        <is>
          <t>Bialy Kamien 5/U3</t>
        </is>
      </c>
      <c r="K3" s="11" t="n"/>
      <c r="L3" s="11" t="inlineStr">
        <is>
          <t>Zarzadca / Inspektor nadzoru / Konserwator</t>
        </is>
      </c>
      <c r="M3" s="12" t="n">
        <v>220</v>
      </c>
      <c r="N3" s="13" t="n">
        <v>4.5</v>
      </c>
      <c r="O3" s="9" t="inlineStr">
        <is>
          <t>Google Maps</t>
        </is>
      </c>
      <c r="P3" s="9" t="inlineStr">
        <is>
          <t>Nowa</t>
        </is>
      </c>
      <c r="Q3" s="10" t="n"/>
      <c r="R3" s="10" t="n"/>
      <c r="S3" s="11" t="inlineStr">
        <is>
          <t>Duza prywatna firma ZN, 220 opinii i 4.5 gw. - top segment. Wysoka szansa zgody.</t>
        </is>
      </c>
      <c r="T3" s="11" t="n"/>
    </row>
    <row r="4" ht="22" customHeight="1">
      <c r="A4" s="9">
        <f>IF(C4="","",ROW()-1)</f>
        <v/>
      </c>
      <c r="B4" s="10" t="n">
        <v>46135</v>
      </c>
      <c r="C4" s="11" t="inlineStr">
        <is>
          <t>Polkowska. Administracja Domow Mieszkalnych</t>
        </is>
      </c>
      <c r="D4" s="9" t="inlineStr">
        <is>
          <t>Zarzadcy nieruchomosci</t>
        </is>
      </c>
      <c r="E4" s="9" t="inlineStr">
        <is>
          <t>Sredni (zolty)</t>
        </is>
      </c>
      <c r="F4" s="9" t="inlineStr">
        <is>
          <t>Mokotow</t>
        </is>
      </c>
      <c r="G4" s="11" t="inlineStr">
        <is>
          <t>(zweryfikuj na Maps)</t>
        </is>
      </c>
      <c r="H4" s="11" t="n"/>
      <c r="I4" s="11" t="n"/>
      <c r="J4" s="11" t="inlineStr">
        <is>
          <t>Polkowska 7</t>
        </is>
      </c>
      <c r="K4" s="11" t="n"/>
      <c r="L4" s="11" t="inlineStr">
        <is>
          <t>Zarzadca / Inspektor nadzoru / Konserwator</t>
        </is>
      </c>
      <c r="M4" s="12" t="n">
        <v>19</v>
      </c>
      <c r="N4" s="13" t="n">
        <v>4.6</v>
      </c>
      <c r="O4" s="9" t="inlineStr">
        <is>
          <t>Google Maps</t>
        </is>
      </c>
      <c r="P4" s="9" t="inlineStr">
        <is>
          <t>Nowa</t>
        </is>
      </c>
      <c r="Q4" s="10" t="n"/>
      <c r="R4" s="10" t="n"/>
      <c r="S4" s="11" t="inlineStr">
        <is>
          <t>UWAGA: numer w Maps byl niepelny - otworz link Maps i sprawdz. Dobre opinie (4.6).</t>
        </is>
      </c>
      <c r="T4" s="11" t="n"/>
    </row>
    <row r="5" ht="22" customHeight="1">
      <c r="A5" s="9">
        <f>IF(C5="","",ROW()-1)</f>
        <v/>
      </c>
      <c r="B5" s="10" t="n">
        <v>46135</v>
      </c>
      <c r="C5" s="11" t="inlineStr">
        <is>
          <t>Concordia ZN - Zarzadzanie Nieruchomosciami Warszawa</t>
        </is>
      </c>
      <c r="D5" s="9" t="inlineStr">
        <is>
          <t>Zarzadcy nieruchomosci</t>
        </is>
      </c>
      <c r="E5" s="9" t="inlineStr">
        <is>
          <t>TOP (zielony)</t>
        </is>
      </c>
      <c r="F5" s="9" t="inlineStr">
        <is>
          <t>Mokotow</t>
        </is>
      </c>
      <c r="G5" s="11" t="inlineStr">
        <is>
          <t>+48 501 504 961</t>
        </is>
      </c>
      <c r="H5" s="11" t="n"/>
      <c r="I5" s="11" t="n"/>
      <c r="J5" s="11" t="inlineStr">
        <is>
          <t>sw. Bonifacego 100</t>
        </is>
      </c>
      <c r="K5" s="11" t="n"/>
      <c r="L5" s="11" t="inlineStr">
        <is>
          <t>Zarzadca / Inspektor nadzoru / Konserwator</t>
        </is>
      </c>
      <c r="M5" s="12" t="n">
        <v>49</v>
      </c>
      <c r="N5" s="13" t="n">
        <v>4.1</v>
      </c>
      <c r="O5" s="9" t="inlineStr">
        <is>
          <t>Google Maps</t>
        </is>
      </c>
      <c r="P5" s="9" t="inlineStr">
        <is>
          <t>Nowa</t>
        </is>
      </c>
      <c r="Q5" s="10" t="n"/>
      <c r="R5" s="10" t="n"/>
      <c r="S5" s="11" t="inlineStr">
        <is>
          <t>Dobra srednia firma. Ma strone. 4.1 z 49 opinii.</t>
        </is>
      </c>
      <c r="T5" s="11" t="n"/>
    </row>
    <row r="6" ht="22" customHeight="1">
      <c r="A6" s="9">
        <f>IF(C6="","",ROW()-1)</f>
        <v/>
      </c>
      <c r="B6" s="10" t="n">
        <v>46135</v>
      </c>
      <c r="C6" s="11" t="inlineStr">
        <is>
          <t>INTER-EJ Zarzadzanie i administrowanie nieruchomosciami</t>
        </is>
      </c>
      <c r="D6" s="9" t="inlineStr">
        <is>
          <t>Zarzadcy nieruchomosci</t>
        </is>
      </c>
      <c r="E6" s="9" t="inlineStr">
        <is>
          <t>Niski (czerwony)</t>
        </is>
      </c>
      <c r="F6" s="9" t="inlineStr">
        <is>
          <t>Mokotow</t>
        </is>
      </c>
      <c r="G6" s="11" t="inlineStr">
        <is>
          <t>+48 22 853 47 33</t>
        </is>
      </c>
      <c r="H6" s="11" t="n"/>
      <c r="I6" s="11" t="n"/>
      <c r="J6" s="11" t="inlineStr">
        <is>
          <t>Zygmunta Modzelewskiego 27</t>
        </is>
      </c>
      <c r="K6" s="11" t="n"/>
      <c r="L6" s="11" t="inlineStr">
        <is>
          <t>Zarzadca / Inspektor nadzoru / Konserwator</t>
        </is>
      </c>
      <c r="M6" s="12" t="n">
        <v>45</v>
      </c>
      <c r="N6" s="13" t="n">
        <v>2.3</v>
      </c>
      <c r="O6" s="9" t="inlineStr">
        <is>
          <t>Google Maps</t>
        </is>
      </c>
      <c r="P6" s="9" t="inlineStr">
        <is>
          <t>Nowa</t>
        </is>
      </c>
      <c r="Q6" s="10" t="n"/>
      <c r="R6" s="10" t="n"/>
      <c r="S6" s="11" t="inlineStr">
        <is>
          <t>NISKI priorytet - 2.3 gw. z 45 opinii. Pomin na start, duzo narzekan klientow = trudny rozmowca.</t>
        </is>
      </c>
      <c r="T6" s="11" t="n"/>
    </row>
    <row r="7" ht="22" customHeight="1">
      <c r="A7" s="9">
        <f>IF(C7="","",ROW()-1)</f>
        <v/>
      </c>
      <c r="B7" s="10" t="n">
        <v>46135</v>
      </c>
      <c r="C7" s="11" t="inlineStr">
        <is>
          <t>Patron. Firma zarzadzajaca nieruchomosciami - Lubomirski J.</t>
        </is>
      </c>
      <c r="D7" s="9" t="inlineStr">
        <is>
          <t>Zarzadcy nieruchomosci</t>
        </is>
      </c>
      <c r="E7" s="9" t="inlineStr">
        <is>
          <t>Niski (czerwony)</t>
        </is>
      </c>
      <c r="F7" s="9" t="inlineStr">
        <is>
          <t>Mokotow</t>
        </is>
      </c>
      <c r="G7" s="11" t="inlineStr">
        <is>
          <t>+48 22 844 26 91</t>
        </is>
      </c>
      <c r="H7" s="11" t="n"/>
      <c r="I7" s="11" t="n"/>
      <c r="J7" s="11" t="inlineStr">
        <is>
          <t>Aleksandra Wejnerta 12</t>
        </is>
      </c>
      <c r="K7" s="11" t="n"/>
      <c r="L7" s="11" t="inlineStr">
        <is>
          <t>Zarzadca / Inspektor nadzoru / Konserwator</t>
        </is>
      </c>
      <c r="M7" s="12" t="n">
        <v>36</v>
      </c>
      <c r="N7" s="13" t="n">
        <v>3.3</v>
      </c>
      <c r="O7" s="9" t="inlineStr">
        <is>
          <t>Google Maps</t>
        </is>
      </c>
      <c r="P7" s="9" t="inlineStr">
        <is>
          <t>Nowa</t>
        </is>
      </c>
      <c r="Q7" s="10" t="n"/>
      <c r="R7" s="10" t="n"/>
      <c r="S7" s="11" t="inlineStr">
        <is>
          <t>3.3 gw. - slaba jakosc, firma rodzinna Lubomirski. Last resort.</t>
        </is>
      </c>
      <c r="T7" s="11" t="n"/>
    </row>
    <row r="8" ht="22" customHeight="1">
      <c r="A8" s="9">
        <f>IF(C8="","",ROW()-1)</f>
        <v/>
      </c>
      <c r="B8" s="10" t="n">
        <v>46135</v>
      </c>
      <c r="C8" s="11" t="inlineStr">
        <is>
          <t>Polska Grupa Najmu - Zarzadzanie mieszkaniami</t>
        </is>
      </c>
      <c r="D8" s="9" t="inlineStr">
        <is>
          <t>Zarzadcy nieruchomosci</t>
        </is>
      </c>
      <c r="E8" s="9" t="inlineStr">
        <is>
          <t>Sredni (zolty)</t>
        </is>
      </c>
      <c r="F8" s="9" t="inlineStr">
        <is>
          <t>Mokotow</t>
        </is>
      </c>
      <c r="G8" s="11" t="inlineStr">
        <is>
          <t>+48 602 526 221</t>
        </is>
      </c>
      <c r="H8" s="11" t="n"/>
      <c r="I8" s="11" t="n"/>
      <c r="J8" s="11" t="inlineStr">
        <is>
          <t>Bobrowiecka 1A</t>
        </is>
      </c>
      <c r="K8" s="11" t="n"/>
      <c r="L8" s="11" t="inlineStr">
        <is>
          <t>Zarzadca / Inspektor nadzoru / Konserwator</t>
        </is>
      </c>
      <c r="M8" s="12" t="n">
        <v>7</v>
      </c>
      <c r="N8" s="13" t="n">
        <v>5</v>
      </c>
      <c r="O8" s="9" t="inlineStr">
        <is>
          <t>Google Maps</t>
        </is>
      </c>
      <c r="P8" s="9" t="inlineStr">
        <is>
          <t>Nowa</t>
        </is>
      </c>
      <c r="Q8" s="10" t="n"/>
      <c r="R8" s="10" t="n"/>
      <c r="S8" s="11" t="inlineStr">
        <is>
          <t>Mala firma, skupiona na najmie (nie typowe ZN). 5.0/7 opinii.</t>
        </is>
      </c>
      <c r="T8" s="11" t="n"/>
    </row>
    <row r="9" ht="22" customHeight="1">
      <c r="A9" s="9">
        <f>IF(C9="","",ROW()-1)</f>
        <v/>
      </c>
      <c r="B9" s="10" t="n">
        <v>46135</v>
      </c>
      <c r="C9" s="11" t="inlineStr">
        <is>
          <t>Mieszkaj Zarzadzanie Najmem Warszawa</t>
        </is>
      </c>
      <c r="D9" s="9" t="inlineStr">
        <is>
          <t>Zarzadcy nieruchomosci</t>
        </is>
      </c>
      <c r="E9" s="9" t="inlineStr">
        <is>
          <t>Sredni (zolty)</t>
        </is>
      </c>
      <c r="F9" s="9" t="inlineStr">
        <is>
          <t>Mokotow</t>
        </is>
      </c>
      <c r="G9" s="11" t="inlineStr">
        <is>
          <t>+48 796 163 823</t>
        </is>
      </c>
      <c r="H9" s="11" t="n"/>
      <c r="I9" s="11" t="n"/>
      <c r="J9" s="11" t="inlineStr">
        <is>
          <t>Pulawska 77/U5</t>
        </is>
      </c>
      <c r="K9" s="11" t="n"/>
      <c r="L9" s="11" t="inlineStr">
        <is>
          <t>Zarzadca / Inspektor nadzoru / Konserwator</t>
        </is>
      </c>
      <c r="M9" s="12" t="n">
        <v>5</v>
      </c>
      <c r="N9" s="13" t="n">
        <v>5</v>
      </c>
      <c r="O9" s="9" t="inlineStr">
        <is>
          <t>Google Maps</t>
        </is>
      </c>
      <c r="P9" s="9" t="inlineStr">
        <is>
          <t>Nowa</t>
        </is>
      </c>
      <c r="Q9" s="10" t="n"/>
      <c r="R9" s="10" t="n"/>
      <c r="S9" s="11" t="inlineStr">
        <is>
          <t>Mala firma (Jurek Wichowski), skupiona na najmie.</t>
        </is>
      </c>
      <c r="T9" s="11" t="n"/>
    </row>
    <row r="10" ht="22" customHeight="1">
      <c r="A10" s="9">
        <f>IF(C10="","",ROW()-1)</f>
        <v/>
      </c>
      <c r="B10" s="10" t="n">
        <v>46135</v>
      </c>
      <c r="C10" s="11" t="inlineStr">
        <is>
          <t>FILARIO - Zarzadzanie i Administrowanie Nieruchomosciami</t>
        </is>
      </c>
      <c r="D10" s="9" t="inlineStr">
        <is>
          <t>Zarzadcy nieruchomosci</t>
        </is>
      </c>
      <c r="E10" s="9" t="inlineStr">
        <is>
          <t>TOP (zielony)</t>
        </is>
      </c>
      <c r="F10" s="9" t="inlineStr">
        <is>
          <t>Wola</t>
        </is>
      </c>
      <c r="G10" s="11" t="inlineStr">
        <is>
          <t>+48 539 365 272</t>
        </is>
      </c>
      <c r="H10" s="11" t="n"/>
      <c r="I10" s="11" t="n"/>
      <c r="J10" s="11" t="inlineStr">
        <is>
          <t>Grzybowska 87</t>
        </is>
      </c>
      <c r="K10" s="11" t="n"/>
      <c r="L10" s="11" t="inlineStr">
        <is>
          <t>Zarzadca / Inspektor nadzoru / Konserwator</t>
        </is>
      </c>
      <c r="M10" s="12" t="n">
        <v>41</v>
      </c>
      <c r="N10" s="13" t="n">
        <v>4.9</v>
      </c>
      <c r="O10" s="9" t="inlineStr">
        <is>
          <t>Google Maps</t>
        </is>
      </c>
      <c r="P10" s="9" t="inlineStr">
        <is>
          <t>Nowa</t>
        </is>
      </c>
      <c r="Q10" s="10" t="n"/>
      <c r="R10" s="10" t="n"/>
      <c r="S10" s="11" t="inlineStr">
        <is>
          <t>Top priorytet - 4.9 gw. z 41 opinii. Rozumieja wspolnoty mieszkaniowe.</t>
        </is>
      </c>
      <c r="T10" s="11" t="n"/>
    </row>
    <row r="11" ht="22" customHeight="1">
      <c r="A11" s="9">
        <f>IF(C11="","",ROW()-1)</f>
        <v/>
      </c>
      <c r="B11" s="10" t="n">
        <v>46135</v>
      </c>
      <c r="C11" s="11" t="inlineStr">
        <is>
          <t>Zaklad Gospodarowania Nieruchomosciami Wola (Nowolipki)</t>
        </is>
      </c>
      <c r="D11" s="9" t="inlineStr">
        <is>
          <t>Zarzadcy nieruchomosci</t>
        </is>
      </c>
      <c r="E11" s="9" t="inlineStr">
        <is>
          <t>Niski (czerwony)</t>
        </is>
      </c>
      <c r="F11" s="9" t="inlineStr">
        <is>
          <t>Wola</t>
        </is>
      </c>
      <c r="G11" s="11" t="inlineStr">
        <is>
          <t>+48 22 838 49 75</t>
        </is>
      </c>
      <c r="H11" s="11" t="n"/>
      <c r="I11" s="11" t="n"/>
      <c r="J11" s="11" t="inlineStr">
        <is>
          <t>Nowolipki 16</t>
        </is>
      </c>
      <c r="K11" s="11" t="n"/>
      <c r="L11" s="11" t="inlineStr">
        <is>
          <t>Zarzadca / Inspektor nadzoru / Konserwator</t>
        </is>
      </c>
      <c r="M11" s="12" t="n">
        <v>78</v>
      </c>
      <c r="N11" s="13" t="n">
        <v>3.2</v>
      </c>
      <c r="O11" s="9" t="inlineStr">
        <is>
          <t>Google Maps</t>
        </is>
      </c>
      <c r="P11" s="9" t="inlineStr">
        <is>
          <t>Nowa</t>
        </is>
      </c>
      <c r="Q11" s="10" t="n"/>
      <c r="R11" s="10" t="n"/>
      <c r="S11" s="11" t="inlineStr">
        <is>
          <t>Urzad dzielnicy Wola. 3.2 gw. - dlaczego niski? Moze ciekawy ale trudny.</t>
        </is>
      </c>
      <c r="T11" s="11" t="n"/>
    </row>
    <row r="12" ht="22" customHeight="1">
      <c r="A12" s="9">
        <f>IF(C12="","",ROW()-1)</f>
        <v/>
      </c>
      <c r="B12" s="10" t="n">
        <v>46135</v>
      </c>
      <c r="C12" s="11" t="inlineStr">
        <is>
          <t>ZGN Wola (Bema 70)</t>
        </is>
      </c>
      <c r="D12" s="9" t="inlineStr">
        <is>
          <t>Zarzadcy nieruchomosci</t>
        </is>
      </c>
      <c r="E12" s="9" t="inlineStr">
        <is>
          <t>Niski (czerwony)</t>
        </is>
      </c>
      <c r="F12" s="9" t="inlineStr">
        <is>
          <t>Wola</t>
        </is>
      </c>
      <c r="G12" s="11" t="inlineStr">
        <is>
          <t>+48 22 495 81 00</t>
        </is>
      </c>
      <c r="H12" s="11" t="n"/>
      <c r="I12" s="11" t="n"/>
      <c r="J12" s="11" t="inlineStr">
        <is>
          <t>Jozefa Bema 70</t>
        </is>
      </c>
      <c r="K12" s="11" t="n"/>
      <c r="L12" s="11" t="inlineStr">
        <is>
          <t>Zarzadca / Inspektor nadzoru / Konserwator</t>
        </is>
      </c>
      <c r="M12" s="12" t="n">
        <v>36</v>
      </c>
      <c r="N12" s="13" t="n">
        <v>3.2</v>
      </c>
      <c r="O12" s="9" t="inlineStr">
        <is>
          <t>Google Maps</t>
        </is>
      </c>
      <c r="P12" s="9" t="inlineStr">
        <is>
          <t>Nowa</t>
        </is>
      </c>
      <c r="Q12" s="10" t="n"/>
      <c r="R12" s="10" t="n"/>
      <c r="S12" s="11" t="inlineStr">
        <is>
          <t>Inny oddzial ZGN Wola. Urzad administracji lokalnej. 3.2 gw.</t>
        </is>
      </c>
      <c r="T12" s="11" t="n"/>
    </row>
    <row r="13" ht="22" customHeight="1">
      <c r="A13" s="9">
        <f>IF(C13="","",ROW()-1)</f>
        <v/>
      </c>
      <c r="B13" s="10" t="n">
        <v>46135</v>
      </c>
      <c r="C13" s="11" t="inlineStr">
        <is>
          <t>P.Z. Partner Sp. z o.o.</t>
        </is>
      </c>
      <c r="D13" s="9" t="inlineStr">
        <is>
          <t>Zarzadcy nieruchomosci</t>
        </is>
      </c>
      <c r="E13" s="9" t="inlineStr">
        <is>
          <t>Sredni (zolty)</t>
        </is>
      </c>
      <c r="F13" s="9" t="inlineStr">
        <is>
          <t>Wola</t>
        </is>
      </c>
      <c r="G13" s="11" t="inlineStr">
        <is>
          <t>+48 696 421 594</t>
        </is>
      </c>
      <c r="H13" s="11" t="n"/>
      <c r="I13" s="11" t="n"/>
      <c r="J13" s="11" t="inlineStr">
        <is>
          <t>Wolska 84/U115</t>
        </is>
      </c>
      <c r="K13" s="11" t="n"/>
      <c r="L13" s="11" t="inlineStr">
        <is>
          <t>Zarzadca / Inspektor nadzoru / Konserwator</t>
        </is>
      </c>
      <c r="M13" s="12" t="n">
        <v>14</v>
      </c>
      <c r="N13" s="13" t="n">
        <v>5</v>
      </c>
      <c r="O13" s="9" t="inlineStr">
        <is>
          <t>Google Maps</t>
        </is>
      </c>
      <c r="P13" s="9" t="inlineStr">
        <is>
          <t>Nowa</t>
        </is>
      </c>
      <c r="Q13" s="10" t="n"/>
      <c r="R13" s="10" t="n"/>
      <c r="S13" s="11" t="inlineStr">
        <is>
          <t>Mala firma, 5.0 gw. z 14 opinii. Profesjonalni wg opinii - dobry lead.</t>
        </is>
      </c>
      <c r="T13" s="11" t="n"/>
    </row>
    <row r="14" ht="22" customHeight="1">
      <c r="A14" s="9">
        <f>IF(C14="","",ROW()-1)</f>
        <v/>
      </c>
      <c r="B14" s="10" t="n">
        <v>46135</v>
      </c>
      <c r="C14" s="11" t="inlineStr">
        <is>
          <t>ZGN Wola (Ogrodowa 28/30)</t>
        </is>
      </c>
      <c r="D14" s="9" t="inlineStr">
        <is>
          <t>Zarzadcy nieruchomosci</t>
        </is>
      </c>
      <c r="E14" s="9" t="inlineStr">
        <is>
          <t>Niski (czerwony)</t>
        </is>
      </c>
      <c r="F14" s="9" t="inlineStr">
        <is>
          <t>Wola</t>
        </is>
      </c>
      <c r="G14" s="11" t="inlineStr">
        <is>
          <t>+48 22 620 93 11</t>
        </is>
      </c>
      <c r="H14" s="11" t="n"/>
      <c r="I14" s="11" t="n"/>
      <c r="J14" s="11" t="inlineStr">
        <is>
          <t>Ogrodowa 28/30</t>
        </is>
      </c>
      <c r="K14" s="11" t="n"/>
      <c r="L14" s="11" t="inlineStr">
        <is>
          <t>Zarzadca / Inspektor nadzoru / Konserwator</t>
        </is>
      </c>
      <c r="M14" s="12" t="n">
        <v>24</v>
      </c>
      <c r="N14" s="13" t="n">
        <v>3</v>
      </c>
      <c r="O14" s="9" t="inlineStr">
        <is>
          <t>Google Maps</t>
        </is>
      </c>
      <c r="P14" s="9" t="inlineStr">
        <is>
          <t>Nowa</t>
        </is>
      </c>
      <c r="Q14" s="10" t="n"/>
      <c r="R14" s="10" t="n"/>
      <c r="S14" s="11" t="inlineStr">
        <is>
          <t>Kolejny oddzial ZGN Wola. 3.0 - niski priorytet ale duzy klient potencjalny.</t>
        </is>
      </c>
      <c r="T14" s="11" t="n"/>
    </row>
    <row r="15" ht="22" customHeight="1">
      <c r="A15" s="9">
        <f>IF(C15="","",ROW()-1)</f>
        <v/>
      </c>
      <c r="B15" s="10" t="n">
        <v>46135</v>
      </c>
      <c r="C15" s="11" t="inlineStr">
        <is>
          <t>Rentli Zarzadzanie Najmem</t>
        </is>
      </c>
      <c r="D15" s="9" t="inlineStr">
        <is>
          <t>Zarzadcy nieruchomosci</t>
        </is>
      </c>
      <c r="E15" s="9" t="inlineStr">
        <is>
          <t>TOP (zielony)</t>
        </is>
      </c>
      <c r="F15" s="9" t="inlineStr">
        <is>
          <t>Wola</t>
        </is>
      </c>
      <c r="G15" s="11" t="inlineStr">
        <is>
          <t>+48 660 860 860</t>
        </is>
      </c>
      <c r="H15" s="11" t="n"/>
      <c r="I15" s="11" t="n"/>
      <c r="J15" s="11" t="inlineStr">
        <is>
          <t>Erazma Ciolka 10</t>
        </is>
      </c>
      <c r="K15" s="11" t="n"/>
      <c r="L15" s="11" t="inlineStr">
        <is>
          <t>Zarzadca / Inspektor nadzoru / Konserwator</t>
        </is>
      </c>
      <c r="M15" s="12" t="n">
        <v>104</v>
      </c>
      <c r="N15" s="13" t="n">
        <v>4.9</v>
      </c>
      <c r="O15" s="9" t="inlineStr">
        <is>
          <t>Google Maps</t>
        </is>
      </c>
      <c r="P15" s="9" t="inlineStr">
        <is>
          <t>Nowa</t>
        </is>
      </c>
      <c r="Q15" s="10" t="n"/>
      <c r="R15" s="10" t="n"/>
      <c r="S15" s="11" t="inlineStr">
        <is>
          <t>Top firma: 104 opinii, 4.9 gw. Transparentnosc chwalona. Lead grade A.</t>
        </is>
      </c>
      <c r="T15" s="11" t="n"/>
    </row>
    <row r="16" ht="22" customHeight="1">
      <c r="A16" s="9">
        <f>IF(C16="","",ROW()-1)</f>
        <v/>
      </c>
      <c r="B16" s="10" t="n">
        <v>46135</v>
      </c>
      <c r="C16" s="11" t="inlineStr">
        <is>
          <t>ZGN Wola Administracja nr 2 Mlynow</t>
        </is>
      </c>
      <c r="D16" s="9" t="inlineStr">
        <is>
          <t>Zarzadcy nieruchomosci</t>
        </is>
      </c>
      <c r="E16" s="9" t="inlineStr">
        <is>
          <t>Niski (czerwony)</t>
        </is>
      </c>
      <c r="F16" s="9" t="inlineStr">
        <is>
          <t>Wola</t>
        </is>
      </c>
      <c r="G16" s="11" t="inlineStr">
        <is>
          <t>+48 22 495 84 60</t>
        </is>
      </c>
      <c r="H16" s="11" t="n"/>
      <c r="I16" s="11" t="n"/>
      <c r="J16" s="11" t="inlineStr">
        <is>
          <t>Hipolita Wawelberga 15</t>
        </is>
      </c>
      <c r="K16" s="11" t="n"/>
      <c r="L16" s="11" t="inlineStr">
        <is>
          <t>Zarzadca / Inspektor nadzoru / Konserwator</t>
        </is>
      </c>
      <c r="M16" s="12" t="n">
        <v>23</v>
      </c>
      <c r="N16" s="13" t="n">
        <v>3</v>
      </c>
      <c r="O16" s="9" t="inlineStr">
        <is>
          <t>Google Maps</t>
        </is>
      </c>
      <c r="P16" s="9" t="inlineStr">
        <is>
          <t>Nowa</t>
        </is>
      </c>
      <c r="Q16" s="10" t="n"/>
      <c r="R16" s="10" t="n"/>
      <c r="S16" s="11" t="inlineStr">
        <is>
          <t>Podlega ZGN Wola. 3.0 - niski priorytet.</t>
        </is>
      </c>
      <c r="T16" s="11" t="n"/>
    </row>
    <row r="17" ht="22" customHeight="1">
      <c r="A17" s="9">
        <f>IF(C17="","",ROW()-1)</f>
        <v/>
      </c>
      <c r="B17" s="10" t="n">
        <v>46135</v>
      </c>
      <c r="C17" s="11" t="inlineStr">
        <is>
          <t>Adom-Pol. Zarzadzanie i administrowanie nieruchomosciami</t>
        </is>
      </c>
      <c r="D17" s="9" t="inlineStr">
        <is>
          <t>Zarzadcy nieruchomosci</t>
        </is>
      </c>
      <c r="E17" s="9" t="inlineStr">
        <is>
          <t>Sredni (zolty)</t>
        </is>
      </c>
      <c r="F17" s="9" t="inlineStr">
        <is>
          <t>Wola</t>
        </is>
      </c>
      <c r="G17" s="11" t="inlineStr">
        <is>
          <t>+48 22 631 18 29</t>
        </is>
      </c>
      <c r="H17" s="11" t="n"/>
      <c r="I17" s="11" t="n"/>
      <c r="J17" s="11" t="inlineStr">
        <is>
          <t>Gorczewska 84/86</t>
        </is>
      </c>
      <c r="K17" s="11" t="n"/>
      <c r="L17" s="11" t="inlineStr">
        <is>
          <t>Zarzadca / Inspektor nadzoru / Konserwator</t>
        </is>
      </c>
      <c r="M17" s="12" t="n">
        <v>6</v>
      </c>
      <c r="N17" s="13" t="n">
        <v>4.5</v>
      </c>
      <c r="O17" s="9" t="inlineStr">
        <is>
          <t>Google Maps</t>
        </is>
      </c>
      <c r="P17" s="9" t="inlineStr">
        <is>
          <t>Nowa</t>
        </is>
      </c>
      <c r="Q17" s="10" t="n"/>
      <c r="R17" s="10" t="n"/>
      <c r="S17" s="11" t="inlineStr">
        <is>
          <t>Mala firma, 4.5 gw. z 6 opinii. Daje sie wypelnic tylko sredni.</t>
        </is>
      </c>
      <c r="T17" s="11" t="n"/>
    </row>
    <row r="18" ht="22" customHeight="1">
      <c r="A18" s="9">
        <f>IF(C18="","",ROW()-1)</f>
        <v/>
      </c>
      <c r="B18" s="10" t="n">
        <v>46135</v>
      </c>
      <c r="C18" s="11" t="inlineStr">
        <is>
          <t>Entarius Biuro Nieruchomosci Ursynow i Bielany</t>
        </is>
      </c>
      <c r="D18" s="9" t="inlineStr">
        <is>
          <t>Agencje nieruchomosci</t>
        </is>
      </c>
      <c r="E18" s="9" t="inlineStr">
        <is>
          <t>TOP (zielony)</t>
        </is>
      </c>
      <c r="F18" s="9" t="inlineStr">
        <is>
          <t>Ursynow</t>
        </is>
      </c>
      <c r="G18" s="11" t="inlineStr">
        <is>
          <t>+48 22 412 17 14</t>
        </is>
      </c>
      <c r="H18" s="11" t="n"/>
      <c r="I18" s="11" t="n"/>
      <c r="J18" s="11" t="inlineStr">
        <is>
          <t>Al. KEN 51/U18</t>
        </is>
      </c>
      <c r="K18" s="11" t="n"/>
      <c r="L18" s="11" t="inlineStr">
        <is>
          <t>Agent / Manager biura</t>
        </is>
      </c>
      <c r="M18" s="12" t="n">
        <v>76</v>
      </c>
      <c r="N18" s="13" t="n">
        <v>4.9</v>
      </c>
      <c r="O18" s="9" t="inlineStr">
        <is>
          <t>Google Maps</t>
        </is>
      </c>
      <c r="P18" s="9" t="inlineStr">
        <is>
          <t>Nowa</t>
        </is>
      </c>
      <c r="Q18" s="10" t="n"/>
      <c r="R18" s="10" t="n"/>
      <c r="S18" s="11" t="inlineStr">
        <is>
          <t>Top biuro nieruchomosci od 2007. 76 op. 4.9. Zle targetuj - agencja, nie ZN.</t>
        </is>
      </c>
      <c r="T18" s="11" t="n"/>
    </row>
    <row r="19" ht="22" customHeight="1">
      <c r="A19" s="9">
        <f>IF(C19="","",ROW()-1)</f>
        <v/>
      </c>
      <c r="B19" s="10" t="n">
        <v>46135</v>
      </c>
      <c r="C19" s="11" t="inlineStr">
        <is>
          <t>Alavoro - Zarzadzanie nieruchomosciami</t>
        </is>
      </c>
      <c r="D19" s="9" t="inlineStr">
        <is>
          <t>Zarzadcy nieruchomosci</t>
        </is>
      </c>
      <c r="E19" s="9" t="inlineStr">
        <is>
          <t>Niski (czerwony)</t>
        </is>
      </c>
      <c r="F19" s="9" t="inlineStr">
        <is>
          <t>Ursynow</t>
        </is>
      </c>
      <c r="G19" s="11" t="inlineStr">
        <is>
          <t>+48 729 870 545</t>
        </is>
      </c>
      <c r="H19" s="11" t="n"/>
      <c r="I19" s="11" t="n"/>
      <c r="J19" s="11" t="inlineStr">
        <is>
          <t>Dereniowa 1/8</t>
        </is>
      </c>
      <c r="K19" s="11" t="n"/>
      <c r="L19" s="11" t="inlineStr">
        <is>
          <t>Zarzadca / Inspektor nadzoru / Konserwator</t>
        </is>
      </c>
      <c r="M19" s="12" t="n">
        <v>2</v>
      </c>
      <c r="N19" s="13" t="n">
        <v>3</v>
      </c>
      <c r="O19" s="9" t="inlineStr">
        <is>
          <t>Google Maps</t>
        </is>
      </c>
      <c r="P19" s="9" t="inlineStr">
        <is>
          <t>Nowa</t>
        </is>
      </c>
      <c r="Q19" s="10" t="n"/>
      <c r="R19" s="10" t="n"/>
      <c r="S19" s="11" t="inlineStr">
        <is>
          <t>Mikro firma, tylko 2 opinii. Niski priorytet.</t>
        </is>
      </c>
      <c r="T19" s="11" t="n"/>
    </row>
    <row r="20" ht="22" customHeight="1">
      <c r="A20" s="9">
        <f>IF(C20="","",ROW()-1)</f>
        <v/>
      </c>
      <c r="B20" s="10" t="n">
        <v>46135</v>
      </c>
      <c r="C20" s="11" t="inlineStr">
        <is>
          <t>Imielin ADM sp. z o.o.</t>
        </is>
      </c>
      <c r="D20" s="9" t="inlineStr">
        <is>
          <t>Zarzadcy nieruchomosci</t>
        </is>
      </c>
      <c r="E20" s="9" t="inlineStr">
        <is>
          <t>TOP (zielony)</t>
        </is>
      </c>
      <c r="F20" s="9" t="inlineStr">
        <is>
          <t>Ursynow</t>
        </is>
      </c>
      <c r="G20" s="11" t="inlineStr">
        <is>
          <t>+48 22 405 02 22</t>
        </is>
      </c>
      <c r="H20" s="11" t="n"/>
      <c r="I20" s="11" t="n"/>
      <c r="J20" s="11" t="inlineStr">
        <is>
          <t>Filipiny Plaskowickiej 46/U9</t>
        </is>
      </c>
      <c r="K20" s="11" t="n"/>
      <c r="L20" s="11" t="inlineStr">
        <is>
          <t>Zarzadca / Inspektor nadzoru / Konserwator</t>
        </is>
      </c>
      <c r="M20" s="12" t="n">
        <v>21</v>
      </c>
      <c r="N20" s="13" t="n">
        <v>4.2</v>
      </c>
      <c r="O20" s="9" t="inlineStr">
        <is>
          <t>Google Maps</t>
        </is>
      </c>
      <c r="P20" s="9" t="inlineStr">
        <is>
          <t>Nowa</t>
        </is>
      </c>
      <c r="Q20" s="10" t="n"/>
      <c r="R20" s="10" t="n"/>
      <c r="S20" s="11" t="inlineStr">
        <is>
          <t>21 opinii 4.2 gw. - dobry sredni-top lead. Oplaty akceptowalne wg klientow.</t>
        </is>
      </c>
      <c r="T20" s="11" t="n"/>
    </row>
    <row r="21" ht="22" customHeight="1">
      <c r="A21" s="9">
        <f>IF(C21="","",ROW()-1)</f>
        <v/>
      </c>
      <c r="B21" s="10" t="n">
        <v>46135</v>
      </c>
      <c r="C21" s="11" t="inlineStr">
        <is>
          <t>Spoldzielnia Inwestycji Mieszkaniowych 'Ursynow'</t>
        </is>
      </c>
      <c r="D21" s="9" t="inlineStr">
        <is>
          <t>Zarzadcy nieruchomosci</t>
        </is>
      </c>
      <c r="E21" s="9" t="inlineStr">
        <is>
          <t>Sredni (zolty)</t>
        </is>
      </c>
      <c r="F21" s="9" t="inlineStr">
        <is>
          <t>Ursynow</t>
        </is>
      </c>
      <c r="G21" s="11" t="inlineStr">
        <is>
          <t>+48 22 643 46 94</t>
        </is>
      </c>
      <c r="H21" s="11" t="n"/>
      <c r="I21" s="11" t="n"/>
      <c r="J21" s="11" t="inlineStr">
        <is>
          <t>Jastrzebowskiego 22</t>
        </is>
      </c>
      <c r="K21" s="11" t="n"/>
      <c r="L21" s="11" t="inlineStr">
        <is>
          <t>Zarzadca / Inspektor nadzoru / Konserwator</t>
        </is>
      </c>
      <c r="M21" s="12" t="n">
        <v>32</v>
      </c>
      <c r="N21" s="13" t="n">
        <v>3.5</v>
      </c>
      <c r="O21" s="9" t="inlineStr">
        <is>
          <t>Google Maps</t>
        </is>
      </c>
      <c r="P21" s="9" t="inlineStr">
        <is>
          <t>Nowa</t>
        </is>
      </c>
      <c r="Q21" s="10" t="n"/>
      <c r="R21" s="10" t="n"/>
      <c r="S21" s="11" t="inlineStr">
        <is>
          <t>Spoldzielnia - duzy klient. 3.5 gw. Sredni priorytet ale wysoki volumen.</t>
        </is>
      </c>
      <c r="T21" s="11" t="n"/>
    </row>
    <row r="22" ht="22" customHeight="1">
      <c r="A22" s="9">
        <f>IF(C22="","",ROW()-1)</f>
        <v/>
      </c>
      <c r="B22" s="10" t="n">
        <v>46135</v>
      </c>
      <c r="C22" s="11" t="inlineStr">
        <is>
          <t>Metrohouse Warszawa Ursynow Kabaty</t>
        </is>
      </c>
      <c r="D22" s="9" t="inlineStr">
        <is>
          <t>Agencje nieruchomosci</t>
        </is>
      </c>
      <c r="E22" s="9" t="inlineStr">
        <is>
          <t>TOP (zielony)</t>
        </is>
      </c>
      <c r="F22" s="9" t="inlineStr">
        <is>
          <t>Ursynow</t>
        </is>
      </c>
      <c r="G22" s="11" t="inlineStr">
        <is>
          <t>+48 506 187 127</t>
        </is>
      </c>
      <c r="H22" s="11" t="n"/>
      <c r="I22" s="11" t="n"/>
      <c r="J22" s="11" t="inlineStr">
        <is>
          <t>Wawozowa 2/lok.1/c</t>
        </is>
      </c>
      <c r="K22" s="11" t="n"/>
      <c r="L22" s="11" t="inlineStr">
        <is>
          <t>Agent / Manager biura</t>
        </is>
      </c>
      <c r="M22" s="12" t="n">
        <v>38</v>
      </c>
      <c r="N22" s="13" t="n">
        <v>4.9</v>
      </c>
      <c r="O22" s="9" t="inlineStr">
        <is>
          <t>Google Maps</t>
        </is>
      </c>
      <c r="P22" s="9" t="inlineStr">
        <is>
          <t>Nowa</t>
        </is>
      </c>
      <c r="Q22" s="10" t="n"/>
      <c r="R22" s="10" t="n"/>
      <c r="S22" s="11" t="inlineStr">
        <is>
          <t>Agencja nieruchomosci, 4.9 gw 38 opinii. Szkoda zasobow na ZN-call.</t>
        </is>
      </c>
      <c r="T22" s="11" t="n"/>
    </row>
    <row r="23" ht="22" customHeight="1">
      <c r="A23" s="9">
        <f>IF(C23="","",ROW()-1)</f>
        <v/>
      </c>
      <c r="B23" s="10" t="n">
        <v>46135</v>
      </c>
      <c r="C23" s="11" t="inlineStr">
        <is>
          <t>Euro-House - Agencja Nieruchomosci Komercyjnych</t>
        </is>
      </c>
      <c r="D23" s="9" t="inlineStr">
        <is>
          <t>Agencje nieruchomosci</t>
        </is>
      </c>
      <c r="E23" s="9" t="inlineStr">
        <is>
          <t>TOP (zielony)</t>
        </is>
      </c>
      <c r="F23" s="9" t="inlineStr">
        <is>
          <t>Ursynow</t>
        </is>
      </c>
      <c r="G23" s="11" t="inlineStr">
        <is>
          <t>+48 504 898 106</t>
        </is>
      </c>
      <c r="H23" s="11" t="n"/>
      <c r="I23" s="11" t="n"/>
      <c r="J23" s="11" t="inlineStr">
        <is>
          <t>Braci Wagow 20/U1</t>
        </is>
      </c>
      <c r="K23" s="11" t="n"/>
      <c r="L23" s="11" t="inlineStr">
        <is>
          <t>Agent / Manager biura</t>
        </is>
      </c>
      <c r="M23" s="12" t="n">
        <v>141</v>
      </c>
      <c r="N23" s="13" t="n">
        <v>4.9</v>
      </c>
      <c r="O23" s="9" t="inlineStr">
        <is>
          <t>Google Maps</t>
        </is>
      </c>
      <c r="P23" s="9" t="inlineStr">
        <is>
          <t>Nowa</t>
        </is>
      </c>
      <c r="Q23" s="10" t="n"/>
      <c r="R23" s="10" t="n"/>
      <c r="S23" s="11" t="inlineStr">
        <is>
          <t>Agencja komercyjna. 141 opinii 4.9. Pan Pawlaczyk polecany. Biuro segmentu TOP.</t>
        </is>
      </c>
      <c r="T23" s="11" t="n"/>
    </row>
    <row r="24" ht="22" customHeight="1">
      <c r="A24" s="9">
        <f>IF(C24="","",ROW()-1)</f>
        <v/>
      </c>
      <c r="B24" s="10" t="n">
        <v>46135</v>
      </c>
      <c r="C24" s="11" t="inlineStr">
        <is>
          <t>Zarzadzanie Najmem GRAPAW - Grazyna Pawlak</t>
        </is>
      </c>
      <c r="D24" s="9" t="inlineStr">
        <is>
          <t>Agencje nieruchomosci</t>
        </is>
      </c>
      <c r="E24" s="9" t="inlineStr">
        <is>
          <t>Niski (czerwony)</t>
        </is>
      </c>
      <c r="F24" s="9" t="inlineStr">
        <is>
          <t>Ursynow</t>
        </is>
      </c>
      <c r="G24" s="11" t="inlineStr">
        <is>
          <t>+48 531 188 303</t>
        </is>
      </c>
      <c r="H24" s="11" t="n"/>
      <c r="I24" s="11" t="n"/>
      <c r="J24" s="11" t="inlineStr">
        <is>
          <t>Kabacki Dukt 6/40</t>
        </is>
      </c>
      <c r="K24" s="11" t="n"/>
      <c r="L24" s="11" t="inlineStr">
        <is>
          <t>Agent / Manager biura</t>
        </is>
      </c>
      <c r="M24" s="12" t="n"/>
      <c r="N24" s="13" t="n"/>
      <c r="O24" s="9" t="inlineStr">
        <is>
          <t>Google Maps</t>
        </is>
      </c>
      <c r="P24" s="9" t="inlineStr">
        <is>
          <t>Nowa</t>
        </is>
      </c>
      <c r="Q24" s="10" t="n"/>
      <c r="R24" s="10" t="n"/>
      <c r="S24" s="11" t="inlineStr">
        <is>
          <t>Brak opinii. Niski priorytet - nie wiadomo czy firma aktywna.</t>
        </is>
      </c>
      <c r="T24" s="11" t="n"/>
    </row>
    <row r="25" ht="22" customHeight="1">
      <c r="A25" s="9">
        <f>IF(C25="","",ROW()-1)</f>
        <v/>
      </c>
      <c r="B25" s="10" t="n">
        <v>46135</v>
      </c>
      <c r="C25" s="11" t="inlineStr">
        <is>
          <t>AD.DRAGOWSKI - Warszawska agencja nieruchomosci od 1986</t>
        </is>
      </c>
      <c r="D25" s="9" t="inlineStr">
        <is>
          <t>Agencje nieruchomosci</t>
        </is>
      </c>
      <c r="E25" s="9" t="inlineStr">
        <is>
          <t>TOP (zielony)</t>
        </is>
      </c>
      <c r="F25" s="9" t="inlineStr">
        <is>
          <t>Ursynow</t>
        </is>
      </c>
      <c r="G25" s="11" t="inlineStr">
        <is>
          <t>+48 22 827 90 83</t>
        </is>
      </c>
      <c r="H25" s="11" t="n"/>
      <c r="I25" s="11" t="n"/>
      <c r="J25" s="11" t="inlineStr">
        <is>
          <t>Al. KEN 90</t>
        </is>
      </c>
      <c r="K25" s="11" t="n"/>
      <c r="L25" s="11" t="inlineStr">
        <is>
          <t>Agent / Manager biura</t>
        </is>
      </c>
      <c r="M25" s="12" t="n">
        <v>21</v>
      </c>
      <c r="N25" s="13" t="n">
        <v>4.4</v>
      </c>
      <c r="O25" s="9" t="inlineStr">
        <is>
          <t>Google Maps</t>
        </is>
      </c>
      <c r="P25" s="9" t="inlineStr">
        <is>
          <t>Nowa</t>
        </is>
      </c>
      <c r="Q25" s="10" t="n"/>
      <c r="R25" s="10" t="n"/>
      <c r="S25" s="11" t="inlineStr">
        <is>
          <t>Agencja nier. od 1986 r. Solidna. 4.4 gw 21 opinii.</t>
        </is>
      </c>
      <c r="T25" s="11" t="n"/>
    </row>
    <row r="26" ht="22" customHeight="1">
      <c r="A26" s="9">
        <f>IF(C26="","",ROW()-1)</f>
        <v/>
      </c>
      <c r="B26" s="10" t="n">
        <v>46135</v>
      </c>
      <c r="C26" s="11" t="inlineStr">
        <is>
          <t>Sweden House - Zarzadzanie najmem Warszawa</t>
        </is>
      </c>
      <c r="D26" s="9" t="inlineStr">
        <is>
          <t>Zarzadcy nieruchomosci</t>
        </is>
      </c>
      <c r="E26" s="9" t="inlineStr">
        <is>
          <t>TOP (zielony)</t>
        </is>
      </c>
      <c r="F26" s="9" t="inlineStr">
        <is>
          <t>Srodmiescie</t>
        </is>
      </c>
      <c r="G26" s="11" t="inlineStr">
        <is>
          <t>+48 22 290 39 02</t>
        </is>
      </c>
      <c r="H26" s="11" t="n"/>
      <c r="I26" s="11" t="n"/>
      <c r="J26" s="11" t="inlineStr">
        <is>
          <t>Al. Jana Pawla II 64/D</t>
        </is>
      </c>
      <c r="K26" s="11" t="n"/>
      <c r="L26" s="11" t="inlineStr">
        <is>
          <t>Zarzadca / Inspektor nadzoru / Konserwator</t>
        </is>
      </c>
      <c r="M26" s="12" t="n">
        <v>98</v>
      </c>
      <c r="N26" s="13" t="n">
        <v>4.8</v>
      </c>
      <c r="O26" s="9" t="inlineStr">
        <is>
          <t>Google Maps</t>
        </is>
      </c>
      <c r="P26" s="9" t="inlineStr">
        <is>
          <t>Nowa</t>
        </is>
      </c>
      <c r="Q26" s="10" t="n"/>
      <c r="R26" s="10" t="n"/>
      <c r="S26" s="11" t="inlineStr">
        <is>
          <t>98 opinii 4.8 - top firma w Srodmiesciu. Profesjonalizm chwalony. Lead grade A.</t>
        </is>
      </c>
      <c r="T26" s="11" t="n"/>
    </row>
    <row r="27" ht="22" customHeight="1">
      <c r="A27" s="9">
        <f>IF(C27="","",ROW()-1)</f>
        <v/>
      </c>
      <c r="B27" s="10" t="n">
        <v>46135</v>
      </c>
      <c r="C27" s="11" t="inlineStr">
        <is>
          <t>Jakub Bezdomny - Nieruchomosci w Warszawie</t>
        </is>
      </c>
      <c r="D27" s="9" t="inlineStr">
        <is>
          <t>Agencje nieruchomosci</t>
        </is>
      </c>
      <c r="E27" s="9" t="inlineStr">
        <is>
          <t>Sredni (zolty)</t>
        </is>
      </c>
      <c r="F27" s="9" t="inlineStr">
        <is>
          <t>Srodmiescie</t>
        </is>
      </c>
      <c r="G27" s="11" t="inlineStr">
        <is>
          <t>+48 22 250 12 22</t>
        </is>
      </c>
      <c r="H27" s="11" t="n"/>
      <c r="I27" s="11" t="n"/>
      <c r="J27" s="11" t="inlineStr">
        <is>
          <t>Nowy Swiat 42</t>
        </is>
      </c>
      <c r="K27" s="11" t="n"/>
      <c r="L27" s="11" t="inlineStr">
        <is>
          <t>Agent / Manager biura</t>
        </is>
      </c>
      <c r="M27" s="12" t="n">
        <v>17</v>
      </c>
      <c r="N27" s="13" t="n">
        <v>5</v>
      </c>
      <c r="O27" s="9" t="inlineStr">
        <is>
          <t>Google Maps</t>
        </is>
      </c>
      <c r="P27" s="9" t="inlineStr">
        <is>
          <t>Nowa</t>
        </is>
      </c>
      <c r="Q27" s="10" t="n"/>
      <c r="R27" s="10" t="n"/>
      <c r="S27" s="11" t="inlineStr">
        <is>
          <t>Agencja + ZN. 5.0 z 17 opinii. Jakub Bezdomny - osobowa marka.</t>
        </is>
      </c>
      <c r="T27" s="11" t="n"/>
    </row>
    <row r="28" ht="22" customHeight="1">
      <c r="A28" s="9">
        <f>IF(C28="","",ROW()-1)</f>
        <v/>
      </c>
      <c r="B28" s="10" t="n">
        <v>46135</v>
      </c>
      <c r="C28" s="11" t="inlineStr">
        <is>
          <t>Zaklad Gospodarowania Nieruchomosciami Srodmiescie</t>
        </is>
      </c>
      <c r="D28" s="9" t="inlineStr">
        <is>
          <t>Zarzadcy nieruchomosci</t>
        </is>
      </c>
      <c r="E28" s="9" t="inlineStr">
        <is>
          <t>TOP (zielony)</t>
        </is>
      </c>
      <c r="F28" s="9" t="inlineStr">
        <is>
          <t>Srodmiescie</t>
        </is>
      </c>
      <c r="G28" s="11" t="inlineStr">
        <is>
          <t>+48 22 336 61 20</t>
        </is>
      </c>
      <c r="H28" s="11" t="n"/>
      <c r="I28" s="11" t="n"/>
      <c r="J28" s="11" t="inlineStr">
        <is>
          <t>Szwolezerow 5</t>
        </is>
      </c>
      <c r="K28" s="11" t="n"/>
      <c r="L28" s="11" t="inlineStr">
        <is>
          <t>Zarzadca / Inspektor nadzoru / Konserwator</t>
        </is>
      </c>
      <c r="M28" s="12" t="n">
        <v>40</v>
      </c>
      <c r="N28" s="13" t="n">
        <v>4.1</v>
      </c>
      <c r="O28" s="9" t="inlineStr">
        <is>
          <t>Google Maps</t>
        </is>
      </c>
      <c r="P28" s="9" t="inlineStr">
        <is>
          <t>Nowa</t>
        </is>
      </c>
      <c r="Q28" s="10" t="n"/>
      <c r="R28" s="10" t="n"/>
      <c r="S28" s="11" t="inlineStr">
        <is>
          <t>ZGN Srodmiescie - duzy klient potencjalny. 4.1 gw 40 opinii. Komunalne.</t>
        </is>
      </c>
      <c r="T28" s="11" t="n"/>
    </row>
    <row r="29" ht="22" customHeight="1">
      <c r="A29" s="9">
        <f>IF(C29="","",ROW()-1)</f>
        <v/>
      </c>
      <c r="B29" s="10" t="n">
        <v>46135</v>
      </c>
      <c r="C29" s="11" t="inlineStr">
        <is>
          <t>WESTATE SRODMIESCIE</t>
        </is>
      </c>
      <c r="D29" s="9" t="inlineStr">
        <is>
          <t>Agencje nieruchomosci</t>
        </is>
      </c>
      <c r="E29" s="9" t="inlineStr">
        <is>
          <t>TOP (zielony)</t>
        </is>
      </c>
      <c r="F29" s="9" t="inlineStr">
        <is>
          <t>Srodmiescie</t>
        </is>
      </c>
      <c r="G29" s="11" t="inlineStr">
        <is>
          <t>+48 22 428 26 81</t>
        </is>
      </c>
      <c r="H29" s="11" t="n"/>
      <c r="I29" s="11" t="n"/>
      <c r="J29" s="11" t="inlineStr">
        <is>
          <t>Niecala 7</t>
        </is>
      </c>
      <c r="K29" s="11" t="n"/>
      <c r="L29" s="11" t="inlineStr">
        <is>
          <t>Agent / Manager biura</t>
        </is>
      </c>
      <c r="M29" s="12" t="n">
        <v>138</v>
      </c>
      <c r="N29" s="13" t="n">
        <v>4.9</v>
      </c>
      <c r="O29" s="9" t="inlineStr">
        <is>
          <t>Google Maps</t>
        </is>
      </c>
      <c r="P29" s="9" t="inlineStr">
        <is>
          <t>Nowa</t>
        </is>
      </c>
      <c r="Q29" s="10" t="n"/>
      <c r="R29" s="10" t="n"/>
      <c r="S29" s="11" t="inlineStr">
        <is>
          <t>Agencja nier. 138 opinii 4.9 - top. Agencja wiec mniej ZN-segmentu.</t>
        </is>
      </c>
      <c r="T29" s="11" t="n"/>
    </row>
    <row r="30" ht="22" customHeight="1">
      <c r="A30" s="9">
        <f>IF(C30="","",ROW()-1)</f>
        <v/>
      </c>
      <c r="B30" s="10" t="n">
        <v>46135</v>
      </c>
      <c r="C30" s="11" t="inlineStr">
        <is>
          <t>Prodoma - zarzadzanie najmem</t>
        </is>
      </c>
      <c r="D30" s="9" t="inlineStr">
        <is>
          <t>Zarzadcy nieruchomosci</t>
        </is>
      </c>
      <c r="E30" s="9" t="inlineStr">
        <is>
          <t>TOP (zielony)</t>
        </is>
      </c>
      <c r="F30" s="9" t="inlineStr">
        <is>
          <t>Srodmiescie</t>
        </is>
      </c>
      <c r="G30" s="11" t="inlineStr">
        <is>
          <t>+48 22 299 20 70</t>
        </is>
      </c>
      <c r="H30" s="11" t="n"/>
      <c r="I30" s="11" t="n"/>
      <c r="J30" s="11" t="inlineStr">
        <is>
          <t>Chmielna 2/II</t>
        </is>
      </c>
      <c r="K30" s="11" t="n"/>
      <c r="L30" s="11" t="inlineStr">
        <is>
          <t>Zarzadca / Inspektor nadzoru / Konserwator</t>
        </is>
      </c>
      <c r="M30" s="12" t="n">
        <v>92</v>
      </c>
      <c r="N30" s="13" t="n">
        <v>4.5</v>
      </c>
      <c r="O30" s="9" t="inlineStr">
        <is>
          <t>Google Maps</t>
        </is>
      </c>
      <c r="P30" s="9" t="inlineStr">
        <is>
          <t>Nowa</t>
        </is>
      </c>
      <c r="Q30" s="10" t="n"/>
      <c r="R30" s="10" t="n"/>
      <c r="S30" s="11" t="inlineStr">
        <is>
          <t>92 opinii 4.5 - solidny lead. Dobra wiadomosc: skaluja duze portfele.</t>
        </is>
      </c>
      <c r="T30" s="11" t="n"/>
    </row>
    <row r="31" ht="22" customHeight="1">
      <c r="A31" s="9">
        <f>IF(C31="","",ROW()-1)</f>
        <v/>
      </c>
      <c r="B31" s="10" t="n">
        <v>46135</v>
      </c>
      <c r="C31" s="11" t="inlineStr">
        <is>
          <t>Jakub Bezdomny - Posrednictwo i Zarzadzanie</t>
        </is>
      </c>
      <c r="D31" s="9" t="inlineStr">
        <is>
          <t>Agencje nieruchomosci</t>
        </is>
      </c>
      <c r="E31" s="9" t="inlineStr">
        <is>
          <t>TOP (zielony)</t>
        </is>
      </c>
      <c r="F31" s="9" t="inlineStr">
        <is>
          <t>Srodmiescie</t>
        </is>
      </c>
      <c r="G31" s="11" t="inlineStr">
        <is>
          <t>+48 22 250 12 22</t>
        </is>
      </c>
      <c r="H31" s="11" t="n"/>
      <c r="I31" s="11" t="n"/>
      <c r="J31" s="11" t="inlineStr">
        <is>
          <t>Tytusa Chalubinskiego 8</t>
        </is>
      </c>
      <c r="K31" s="11" t="n"/>
      <c r="L31" s="11" t="inlineStr">
        <is>
          <t>Agent / Manager biura</t>
        </is>
      </c>
      <c r="M31" s="12" t="n">
        <v>26</v>
      </c>
      <c r="N31" s="13" t="n">
        <v>4.5</v>
      </c>
      <c r="O31" s="9" t="inlineStr">
        <is>
          <t>Google Maps</t>
        </is>
      </c>
      <c r="P31" s="9" t="inlineStr">
        <is>
          <t>Nowa</t>
        </is>
      </c>
      <c r="Q31" s="10" t="n"/>
      <c r="R31" s="10" t="n"/>
      <c r="S31" s="11" t="inlineStr">
        <is>
          <t>Drugi oddzial Jakuba. Nie dublowac telefonu - jedna rozmowa.</t>
        </is>
      </c>
      <c r="T31" s="11" t="n"/>
    </row>
    <row r="32" ht="22" customHeight="1">
      <c r="A32" s="9">
        <f>IF(C32="","",ROW()-1)</f>
        <v/>
      </c>
      <c r="B32" s="10" t="n">
        <v>46135</v>
      </c>
      <c r="C32" s="11" t="inlineStr">
        <is>
          <t>PYRAMID Centrum Zarzadzania Nieruchomosciami</t>
        </is>
      </c>
      <c r="D32" s="9" t="inlineStr">
        <is>
          <t>Zarzadcy nieruchomosci</t>
        </is>
      </c>
      <c r="E32" s="9" t="inlineStr">
        <is>
          <t>Niski (czerwony)</t>
        </is>
      </c>
      <c r="F32" s="9" t="inlineStr">
        <is>
          <t>Srodmiescie</t>
        </is>
      </c>
      <c r="G32" s="11" t="inlineStr">
        <is>
          <t>+48 22 622 07 67</t>
        </is>
      </c>
      <c r="H32" s="11" t="n"/>
      <c r="I32" s="11" t="n"/>
      <c r="J32" s="11" t="inlineStr">
        <is>
          <t>Zurawia 32/pokoj 56</t>
        </is>
      </c>
      <c r="K32" s="11" t="n"/>
      <c r="L32" s="11" t="inlineStr">
        <is>
          <t>Zarzadca / Inspektor nadzoru / Konserwator</t>
        </is>
      </c>
      <c r="M32" s="12" t="n">
        <v>10</v>
      </c>
      <c r="N32" s="13" t="n">
        <v>2.9</v>
      </c>
      <c r="O32" s="9" t="inlineStr">
        <is>
          <t>Google Maps</t>
        </is>
      </c>
      <c r="P32" s="9" t="inlineStr">
        <is>
          <t>Nowa</t>
        </is>
      </c>
      <c r="Q32" s="10" t="n"/>
      <c r="R32" s="10" t="n"/>
      <c r="S32" s="11" t="inlineStr">
        <is>
          <t>2.9 gw - niski priorytet. Pomin na start.</t>
        </is>
      </c>
      <c r="T32" s="11" t="n"/>
    </row>
    <row r="33" ht="22" customHeight="1">
      <c r="A33" s="9">
        <f>IF(C33="","",ROW()-1)</f>
        <v/>
      </c>
      <c r="B33" s="10" t="n">
        <v>46135</v>
      </c>
      <c r="C33" s="11" t="inlineStr">
        <is>
          <t>SDP Nieruchomosci</t>
        </is>
      </c>
      <c r="D33" s="9" t="inlineStr">
        <is>
          <t>Agencje nieruchomosci</t>
        </is>
      </c>
      <c r="E33" s="9" t="inlineStr">
        <is>
          <t>TOP (zielony)</t>
        </is>
      </c>
      <c r="F33" s="9" t="inlineStr">
        <is>
          <t>Srodmiescie</t>
        </is>
      </c>
      <c r="G33" s="11" t="inlineStr">
        <is>
          <t>+48 602 101 602</t>
        </is>
      </c>
      <c r="H33" s="11" t="n"/>
      <c r="I33" s="11" t="n"/>
      <c r="J33" s="11" t="inlineStr">
        <is>
          <t>Wilcza 66/68</t>
        </is>
      </c>
      <c r="K33" s="11" t="n"/>
      <c r="L33" s="11" t="inlineStr">
        <is>
          <t>Agent / Manager biura</t>
        </is>
      </c>
      <c r="M33" s="12" t="n">
        <v>157</v>
      </c>
      <c r="N33" s="13" t="n">
        <v>4.9</v>
      </c>
      <c r="O33" s="9" t="inlineStr">
        <is>
          <t>Google Maps</t>
        </is>
      </c>
      <c r="P33" s="9" t="inlineStr">
        <is>
          <t>Nowa</t>
        </is>
      </c>
      <c r="Q33" s="10" t="n"/>
      <c r="R33" s="10" t="n"/>
      <c r="S33" s="11" t="inlineStr">
        <is>
          <t>Agencja nieruchomosci TOP - 157 op 4.9. Pani Wiecek polecana.</t>
        </is>
      </c>
      <c r="T33" s="11" t="n"/>
    </row>
    <row r="34" ht="22" customHeight="1">
      <c r="A34" s="9">
        <f>IF(C34="","",ROW()-1)</f>
        <v/>
      </c>
      <c r="B34" s="10" t="n">
        <v>46135</v>
      </c>
      <c r="C34" s="11" t="inlineStr">
        <is>
          <t>Lemmonhouse - zarzadzanie nieruchomosciami</t>
        </is>
      </c>
      <c r="D34" s="9" t="inlineStr">
        <is>
          <t>Zarzadcy nieruchomosci</t>
        </is>
      </c>
      <c r="E34" s="9" t="inlineStr">
        <is>
          <t>Niski (czerwony)</t>
        </is>
      </c>
      <c r="F34" s="9" t="inlineStr">
        <is>
          <t>Wilanow</t>
        </is>
      </c>
      <c r="G34" s="11" t="inlineStr">
        <is>
          <t>+48 22 885 30 20</t>
        </is>
      </c>
      <c r="H34" s="11" t="n"/>
      <c r="I34" s="11" t="n"/>
      <c r="J34" s="11" t="inlineStr">
        <is>
          <t>Sarmacka 18/L143</t>
        </is>
      </c>
      <c r="K34" s="11" t="n"/>
      <c r="L34" s="11" t="inlineStr">
        <is>
          <t>Zarzadca / Inspektor nadzoru / Konserwator</t>
        </is>
      </c>
      <c r="M34" s="12" t="n">
        <v>52</v>
      </c>
      <c r="N34" s="13" t="n">
        <v>3.2</v>
      </c>
      <c r="O34" s="9" t="inlineStr">
        <is>
          <t>Google Maps</t>
        </is>
      </c>
      <c r="P34" s="9" t="inlineStr">
        <is>
          <t>Nowa</t>
        </is>
      </c>
      <c r="Q34" s="10" t="n"/>
      <c r="R34" s="10" t="n"/>
      <c r="S34" s="11" t="inlineStr">
        <is>
          <t>3.2 gw - narzekania na czas naprawy. Niski priorytet.</t>
        </is>
      </c>
      <c r="T34" s="11" t="n"/>
    </row>
    <row r="35" ht="22" customHeight="1">
      <c r="A35" s="9">
        <f>IF(C35="","",ROW()-1)</f>
        <v/>
      </c>
      <c r="B35" s="10" t="n">
        <v>46135</v>
      </c>
      <c r="C35" s="11" t="inlineStr">
        <is>
          <t>Lux Dom Sp. z o.o.</t>
        </is>
      </c>
      <c r="D35" s="9" t="inlineStr">
        <is>
          <t>Zarzadcy nieruchomosci</t>
        </is>
      </c>
      <c r="E35" s="9" t="inlineStr">
        <is>
          <t>Niski (czerwony)</t>
        </is>
      </c>
      <c r="F35" s="9" t="inlineStr">
        <is>
          <t>Wilanow</t>
        </is>
      </c>
      <c r="G35" s="11" t="inlineStr">
        <is>
          <t>+48 512 031 805</t>
        </is>
      </c>
      <c r="H35" s="11" t="n"/>
      <c r="I35" s="11" t="n"/>
      <c r="J35" s="11" t="inlineStr">
        <is>
          <t>Al. Wilanowska 9</t>
        </is>
      </c>
      <c r="K35" s="11" t="n"/>
      <c r="L35" s="11" t="inlineStr">
        <is>
          <t>Zarzadca / Inspektor nadzoru / Konserwator</t>
        </is>
      </c>
      <c r="M35" s="12" t="n">
        <v>166</v>
      </c>
      <c r="N35" s="13" t="n">
        <v>2.3</v>
      </c>
      <c r="O35" s="9" t="inlineStr">
        <is>
          <t>Google Maps</t>
        </is>
      </c>
      <c r="P35" s="9" t="inlineStr">
        <is>
          <t>Nowa</t>
        </is>
      </c>
      <c r="Q35" s="10" t="n"/>
      <c r="R35" s="10" t="n"/>
      <c r="S35" s="11" t="inlineStr">
        <is>
          <t>2.3 gw - pomin. Mieszkancy skarza sie. Lead grade D.</t>
        </is>
      </c>
      <c r="T35" s="11" t="n"/>
    </row>
    <row r="36" ht="22" customHeight="1">
      <c r="A36" s="9">
        <f>IF(C36="","",ROW()-1)</f>
        <v/>
      </c>
      <c r="B36" s="10" t="n">
        <v>46135</v>
      </c>
      <c r="C36" s="11" t="inlineStr">
        <is>
          <t>Wspolnota Mieszkaniowa Ostoja Wilanow</t>
        </is>
      </c>
      <c r="D36" s="9" t="inlineStr">
        <is>
          <t>Zarzadcy nieruchomosci</t>
        </is>
      </c>
      <c r="E36" s="9" t="inlineStr">
        <is>
          <t>TOP (zielony)</t>
        </is>
      </c>
      <c r="F36" s="9" t="inlineStr">
        <is>
          <t>Wilanow</t>
        </is>
      </c>
      <c r="G36" s="11" t="inlineStr">
        <is>
          <t>+48 797 027 888</t>
        </is>
      </c>
      <c r="H36" s="11" t="n"/>
      <c r="I36" s="11" t="n"/>
      <c r="J36" s="11" t="inlineStr">
        <is>
          <t>Ostoja Wilanow - Prymasa Hlonda</t>
        </is>
      </c>
      <c r="K36" s="11" t="n"/>
      <c r="L36" s="11" t="inlineStr">
        <is>
          <t>Zarzadca / Inspektor nadzoru / Konserwator</t>
        </is>
      </c>
      <c r="M36" s="12" t="n">
        <v>462</v>
      </c>
      <c r="N36" s="13" t="n">
        <v>4.2</v>
      </c>
      <c r="O36" s="9" t="inlineStr">
        <is>
          <t>Google Maps</t>
        </is>
      </c>
      <c r="P36" s="9" t="inlineStr">
        <is>
          <t>Nowa</t>
        </is>
      </c>
      <c r="Q36" s="10" t="n"/>
      <c r="R36" s="10" t="n"/>
      <c r="S36" s="11" t="inlineStr">
        <is>
          <t>OGROMNA wspolnota (462 opinii!). Najlepsze osiedle w Wilanowie. Priorytet top - wolumen zlecen ogromny.</t>
        </is>
      </c>
      <c r="T36" s="11" t="n"/>
    </row>
    <row r="37" ht="22" customHeight="1">
      <c r="A37" s="9">
        <f>IF(C37="","",ROW()-1)</f>
        <v/>
      </c>
      <c r="B37" s="10" t="n">
        <v>46135</v>
      </c>
      <c r="C37" s="11" t="inlineStr">
        <is>
          <t>Nieruchomosci Wilanow</t>
        </is>
      </c>
      <c r="D37" s="9" t="inlineStr">
        <is>
          <t>Agencje nieruchomosci</t>
        </is>
      </c>
      <c r="E37" s="9" t="inlineStr">
        <is>
          <t>Sredni (zolty)</t>
        </is>
      </c>
      <c r="F37" s="9" t="inlineStr">
        <is>
          <t>Wilanow</t>
        </is>
      </c>
      <c r="G37" s="11" t="inlineStr">
        <is>
          <t>+48 663 360 360</t>
        </is>
      </c>
      <c r="H37" s="11" t="n"/>
      <c r="I37" s="11" t="n"/>
      <c r="J37" s="11" t="inlineStr">
        <is>
          <t>Krzysztofa Kieslowskiego 3/U4</t>
        </is>
      </c>
      <c r="K37" s="11" t="n"/>
      <c r="L37" s="11" t="inlineStr">
        <is>
          <t>Agent / Manager biura</t>
        </is>
      </c>
      <c r="M37" s="12" t="n">
        <v>17</v>
      </c>
      <c r="N37" s="13" t="n">
        <v>4.5</v>
      </c>
      <c r="O37" s="9" t="inlineStr">
        <is>
          <t>Google Maps</t>
        </is>
      </c>
      <c r="P37" s="9" t="inlineStr">
        <is>
          <t>Nowa</t>
        </is>
      </c>
      <c r="Q37" s="10" t="n"/>
      <c r="R37" s="10" t="n"/>
      <c r="S37" s="11" t="inlineStr">
        <is>
          <t>Agencja 4.5 gw 17 opinii. Sredni priorytet.</t>
        </is>
      </c>
      <c r="T37" s="11" t="n"/>
    </row>
    <row r="38" ht="22" customHeight="1">
      <c r="A38" s="9">
        <f>IF(C38="","",ROW()-1)</f>
        <v/>
      </c>
      <c r="B38" s="10" t="n">
        <v>46135</v>
      </c>
      <c r="C38" s="11" t="inlineStr">
        <is>
          <t>WESTATE Wilanow</t>
        </is>
      </c>
      <c r="D38" s="9" t="inlineStr">
        <is>
          <t>Agencje nieruchomosci</t>
        </is>
      </c>
      <c r="E38" s="9" t="inlineStr">
        <is>
          <t>TOP (zielony)</t>
        </is>
      </c>
      <c r="F38" s="9" t="inlineStr">
        <is>
          <t>Wilanow</t>
        </is>
      </c>
      <c r="G38" s="11" t="inlineStr">
        <is>
          <t>+48 660 108 522</t>
        </is>
      </c>
      <c r="H38" s="11" t="n"/>
      <c r="I38" s="11" t="n"/>
      <c r="J38" s="11" t="inlineStr">
        <is>
          <t>Al. Rzeczypospolitej 18/152</t>
        </is>
      </c>
      <c r="K38" s="11" t="n"/>
      <c r="L38" s="11" t="inlineStr">
        <is>
          <t>Agent / Manager biura</t>
        </is>
      </c>
      <c r="M38" s="12" t="n">
        <v>138</v>
      </c>
      <c r="N38" s="13" t="n">
        <v>4.9</v>
      </c>
      <c r="O38" s="9" t="inlineStr">
        <is>
          <t>Google Maps</t>
        </is>
      </c>
      <c r="P38" s="9" t="inlineStr">
        <is>
          <t>Nowa</t>
        </is>
      </c>
      <c r="Q38" s="10" t="n"/>
      <c r="R38" s="10" t="n"/>
      <c r="S38" s="11" t="inlineStr">
        <is>
          <t>Druga lokalizacja WESTATE. TOP. Nie dzwoni dwa razy - jedno konto w CRM.</t>
        </is>
      </c>
      <c r="T38" s="11" t="n"/>
    </row>
    <row r="39" ht="22" customHeight="1">
      <c r="A39" s="9">
        <f>IF(C39="","",ROW()-1)</f>
        <v/>
      </c>
      <c r="B39" s="10" t="n">
        <v>46135</v>
      </c>
      <c r="C39" s="11" t="inlineStr">
        <is>
          <t>Nasz Wilanow / biuro nieruchomosci</t>
        </is>
      </c>
      <c r="D39" s="9" t="inlineStr">
        <is>
          <t>Agencje nieruchomosci</t>
        </is>
      </c>
      <c r="E39" s="9" t="inlineStr">
        <is>
          <t>Sredni (zolty)</t>
        </is>
      </c>
      <c r="F39" s="9" t="inlineStr">
        <is>
          <t>Wilanow</t>
        </is>
      </c>
      <c r="G39" s="11" t="inlineStr">
        <is>
          <t>+48 507 056 589</t>
        </is>
      </c>
      <c r="H39" s="11" t="n"/>
      <c r="I39" s="11" t="n"/>
      <c r="J39" s="11" t="inlineStr">
        <is>
          <t>Wiertnicza 45</t>
        </is>
      </c>
      <c r="K39" s="11" t="n"/>
      <c r="L39" s="11" t="inlineStr">
        <is>
          <t>Agent / Manager biura</t>
        </is>
      </c>
      <c r="M39" s="12" t="n">
        <v>10</v>
      </c>
      <c r="N39" s="13" t="n">
        <v>4.9</v>
      </c>
      <c r="O39" s="9" t="inlineStr">
        <is>
          <t>Google Maps</t>
        </is>
      </c>
      <c r="P39" s="9" t="inlineStr">
        <is>
          <t>Nowa</t>
        </is>
      </c>
      <c r="Q39" s="10" t="n"/>
      <c r="R39" s="10" t="n"/>
      <c r="S39" s="11" t="inlineStr">
        <is>
          <t>Agencja 4.9 gw 10 opinii. Sredni lead.</t>
        </is>
      </c>
      <c r="T39" s="11" t="n"/>
    </row>
    <row r="40" ht="22" customHeight="1">
      <c r="A40" s="9">
        <f>IF(C40="","",ROW()-1)</f>
        <v/>
      </c>
      <c r="B40" s="10" t="n">
        <v>46135</v>
      </c>
      <c r="C40" s="11" t="inlineStr">
        <is>
          <t>Nasz Najem</t>
        </is>
      </c>
      <c r="D40" s="9" t="inlineStr">
        <is>
          <t>Zarzadcy nieruchomosci</t>
        </is>
      </c>
      <c r="E40" s="9" t="inlineStr">
        <is>
          <t>TOP (zielony)</t>
        </is>
      </c>
      <c r="F40" s="9" t="inlineStr">
        <is>
          <t>Wilanow</t>
        </is>
      </c>
      <c r="G40" s="11" t="inlineStr">
        <is>
          <t>(zweryfikuj na Maps)</t>
        </is>
      </c>
      <c r="H40" s="11" t="n"/>
      <c r="I40" s="11" t="n"/>
      <c r="J40" s="11" t="inlineStr">
        <is>
          <t>Bruzdowa 108D/6</t>
        </is>
      </c>
      <c r="K40" s="11" t="n"/>
      <c r="L40" s="11" t="inlineStr">
        <is>
          <t>Zarzadca / Inspektor nadzoru / Konserwator</t>
        </is>
      </c>
      <c r="M40" s="12" t="n">
        <v>21</v>
      </c>
      <c r="N40" s="13" t="n">
        <v>5</v>
      </c>
      <c r="O40" s="9" t="inlineStr">
        <is>
          <t>Google Maps</t>
        </is>
      </c>
      <c r="P40" s="9" t="inlineStr">
        <is>
          <t>Nowa</t>
        </is>
      </c>
      <c r="Q40" s="10" t="n"/>
      <c r="R40" s="10" t="n"/>
      <c r="S40" s="11" t="inlineStr">
        <is>
          <t>Brak numeru w Maps! 5.0 gw 21 opinii. Wejdz w Maps i zweryfikuj.</t>
        </is>
      </c>
      <c r="T40" s="11" t="n"/>
    </row>
    <row r="41" ht="22" customHeight="1">
      <c r="A41" s="9">
        <f>IF(C41="","",ROW()-1)</f>
        <v/>
      </c>
      <c r="B41" s="10" t="n">
        <v>46135</v>
      </c>
      <c r="C41" s="11" t="inlineStr">
        <is>
          <t>PROPEMA sp. z o.o.</t>
        </is>
      </c>
      <c r="D41" s="9" t="inlineStr">
        <is>
          <t>Zarzadcy nieruchomosci</t>
        </is>
      </c>
      <c r="E41" s="9" t="inlineStr">
        <is>
          <t>Sredni (zolty)</t>
        </is>
      </c>
      <c r="F41" s="9" t="inlineStr">
        <is>
          <t>Wilanow</t>
        </is>
      </c>
      <c r="G41" s="11" t="inlineStr">
        <is>
          <t>+48 785 328 226</t>
        </is>
      </c>
      <c r="H41" s="11" t="n"/>
      <c r="I41" s="11" t="n"/>
      <c r="J41" s="11" t="inlineStr">
        <is>
          <t>Franciszka Klimczaka 15/1</t>
        </is>
      </c>
      <c r="K41" s="11" t="n"/>
      <c r="L41" s="11" t="inlineStr">
        <is>
          <t>Zarzadca / Inspektor nadzoru / Konserwator</t>
        </is>
      </c>
      <c r="M41" s="12" t="n">
        <v>112</v>
      </c>
      <c r="N41" s="13" t="n">
        <v>3.8</v>
      </c>
      <c r="O41" s="9" t="inlineStr">
        <is>
          <t>Google Maps</t>
        </is>
      </c>
      <c r="P41" s="9" t="inlineStr">
        <is>
          <t>Nowa</t>
        </is>
      </c>
      <c r="Q41" s="10" t="n"/>
      <c r="R41" s="10" t="n"/>
      <c r="S41" s="11" t="inlineStr">
        <is>
          <t>3.8 gw 112 opinii. Sredni lead. Duzy zasieg operacji.</t>
        </is>
      </c>
      <c r="T41" s="11" t="n"/>
    </row>
    <row r="42" ht="22" customHeight="1">
      <c r="A42" s="9">
        <f>IF(C42="","",ROW()-1)</f>
        <v/>
      </c>
      <c r="B42" s="10" t="n">
        <v>46135</v>
      </c>
      <c r="C42" s="11" t="inlineStr">
        <is>
          <t>Zaklad Gospodarowania Nieruchomosciami Praga-Poludnie</t>
        </is>
      </c>
      <c r="D42" s="9" t="inlineStr">
        <is>
          <t>Zarzadcy nieruchomosci</t>
        </is>
      </c>
      <c r="E42" s="9" t="inlineStr">
        <is>
          <t>Niski (czerwony)</t>
        </is>
      </c>
      <c r="F42" s="9" t="inlineStr">
        <is>
          <t>Praga-Poludnie</t>
        </is>
      </c>
      <c r="G42" s="11" t="inlineStr">
        <is>
          <t>+48 22 277 30 82</t>
        </is>
      </c>
      <c r="H42" s="11" t="n"/>
      <c r="I42" s="11" t="n"/>
      <c r="J42" s="11" t="inlineStr">
        <is>
          <t>Minska 63A</t>
        </is>
      </c>
      <c r="K42" s="11" t="n"/>
      <c r="L42" s="11" t="inlineStr">
        <is>
          <t>Zarzadca / Inspektor nadzoru / Konserwator</t>
        </is>
      </c>
      <c r="M42" s="12" t="n">
        <v>72</v>
      </c>
      <c r="N42" s="13" t="n">
        <v>3.4</v>
      </c>
      <c r="O42" s="9" t="inlineStr">
        <is>
          <t>Google Maps</t>
        </is>
      </c>
      <c r="P42" s="9" t="inlineStr">
        <is>
          <t>Nowa</t>
        </is>
      </c>
      <c r="Q42" s="10" t="n"/>
      <c r="R42" s="10" t="n"/>
      <c r="S42" s="11" t="inlineStr">
        <is>
          <t>Urzad dzielnicowy - duzy klient potencjalny. 3.4 gw 72 opinii.</t>
        </is>
      </c>
      <c r="T42" s="11" t="n"/>
    </row>
    <row r="43" ht="22" customHeight="1">
      <c r="A43" s="9">
        <f>IF(C43="","",ROW()-1)</f>
        <v/>
      </c>
      <c r="B43" s="10" t="n">
        <v>46135</v>
      </c>
      <c r="C43" s="11" t="inlineStr">
        <is>
          <t>Mawen Zarzadzanie Nieruchomosciami</t>
        </is>
      </c>
      <c r="D43" s="9" t="inlineStr">
        <is>
          <t>Zarzadcy nieruchomosci</t>
        </is>
      </c>
      <c r="E43" s="9" t="inlineStr">
        <is>
          <t>TOP (zielony)</t>
        </is>
      </c>
      <c r="F43" s="9" t="inlineStr">
        <is>
          <t>Praga-Poludnie</t>
        </is>
      </c>
      <c r="G43" s="11" t="inlineStr">
        <is>
          <t>+48 22 299 29 36</t>
        </is>
      </c>
      <c r="H43" s="11" t="n"/>
      <c r="I43" s="11" t="n"/>
      <c r="J43" s="11" t="inlineStr">
        <is>
          <t>Iganska 28/20</t>
        </is>
      </c>
      <c r="K43" s="11" t="n"/>
      <c r="L43" s="11" t="inlineStr">
        <is>
          <t>Zarzadca / Inspektor nadzoru / Konserwator</t>
        </is>
      </c>
      <c r="M43" s="12" t="n">
        <v>37</v>
      </c>
      <c r="N43" s="13" t="n">
        <v>4.9</v>
      </c>
      <c r="O43" s="9" t="inlineStr">
        <is>
          <t>Google Maps</t>
        </is>
      </c>
      <c r="P43" s="9" t="inlineStr">
        <is>
          <t>Nowa</t>
        </is>
      </c>
      <c r="Q43" s="10" t="n"/>
      <c r="R43" s="10" t="n"/>
      <c r="S43" s="11" t="inlineStr">
        <is>
          <t>37 op 4.9 - top firma. Super kontakt wg opinii.</t>
        </is>
      </c>
      <c r="T43" s="11" t="n"/>
    </row>
    <row r="44" ht="22" customHeight="1">
      <c r="A44" s="9">
        <f>IF(C44="","",ROW()-1)</f>
        <v/>
      </c>
      <c r="B44" s="10" t="n">
        <v>46135</v>
      </c>
      <c r="C44" s="11" t="inlineStr">
        <is>
          <t>PK Zarzadzanie - Przemyslaw</t>
        </is>
      </c>
      <c r="D44" s="9" t="inlineStr">
        <is>
          <t>Zarzadcy nieruchomosci</t>
        </is>
      </c>
      <c r="E44" s="9" t="inlineStr">
        <is>
          <t>Sredni (zolty)</t>
        </is>
      </c>
      <c r="F44" s="9" t="inlineStr">
        <is>
          <t>Praga-Poludnie</t>
        </is>
      </c>
      <c r="G44" s="11" t="inlineStr">
        <is>
          <t>+48 451 542 443</t>
        </is>
      </c>
      <c r="H44" s="11" t="n"/>
      <c r="I44" s="11" t="n"/>
      <c r="J44" s="11" t="inlineStr">
        <is>
          <t>Kwatery Glownej 44A/7</t>
        </is>
      </c>
      <c r="K44" s="11" t="n"/>
      <c r="L44" s="11" t="inlineStr">
        <is>
          <t>Zarzadca / Inspektor nadzoru / Konserwator</t>
        </is>
      </c>
      <c r="M44" s="12" t="n">
        <v>11</v>
      </c>
      <c r="N44" s="13" t="n">
        <v>5</v>
      </c>
      <c r="O44" s="9" t="inlineStr">
        <is>
          <t>Google Maps</t>
        </is>
      </c>
      <c r="P44" s="9" t="inlineStr">
        <is>
          <t>Nowa</t>
        </is>
      </c>
      <c r="Q44" s="10" t="n"/>
      <c r="R44" s="10" t="n"/>
      <c r="S44" s="11" t="inlineStr">
        <is>
          <t>Mala firma Pana Przemyslawa. 5.0 gw 11 opinii. Czynne calodobowo.</t>
        </is>
      </c>
      <c r="T44" s="11" t="n"/>
    </row>
    <row r="45" ht="22" customHeight="1">
      <c r="A45" s="9">
        <f>IF(C45="","",ROW()-1)</f>
        <v/>
      </c>
      <c r="B45" s="10" t="n">
        <v>46135</v>
      </c>
      <c r="C45" s="11" t="inlineStr">
        <is>
          <t>Sekro - administrowanie i zarzadzanie nieruchomosciami</t>
        </is>
      </c>
      <c r="D45" s="9" t="inlineStr">
        <is>
          <t>Zarzadcy nieruchomosci</t>
        </is>
      </c>
      <c r="E45" s="9" t="inlineStr">
        <is>
          <t>TOP (zielony)</t>
        </is>
      </c>
      <c r="F45" s="9" t="inlineStr">
        <is>
          <t>Praga-Poludnie</t>
        </is>
      </c>
      <c r="G45" s="11" t="inlineStr">
        <is>
          <t>+48 22 616 40 03</t>
        </is>
      </c>
      <c r="H45" s="11" t="n"/>
      <c r="I45" s="11" t="n"/>
      <c r="J45" s="11" t="inlineStr">
        <is>
          <t>Argentynska 2/3</t>
        </is>
      </c>
      <c r="K45" s="11" t="n"/>
      <c r="L45" s="11" t="inlineStr">
        <is>
          <t>Zarzadca / Inspektor nadzoru / Konserwator</t>
        </is>
      </c>
      <c r="M45" s="12" t="n">
        <v>398</v>
      </c>
      <c r="N45" s="13" t="n">
        <v>4.9</v>
      </c>
      <c r="O45" s="9" t="inlineStr">
        <is>
          <t>Google Maps</t>
        </is>
      </c>
      <c r="P45" s="9" t="inlineStr">
        <is>
          <t>Nowa</t>
        </is>
      </c>
      <c r="Q45" s="10" t="n"/>
      <c r="R45" s="10" t="n"/>
      <c r="S45" s="11" t="inlineStr">
        <is>
          <t>GIGANT - 398 opinii 4.9! Jedna z najwiekszych firm ZN w Warszawie. Lead grade AAA.</t>
        </is>
      </c>
      <c r="T45" s="11" t="n"/>
    </row>
    <row r="46" ht="22" customHeight="1">
      <c r="A46" s="9">
        <f>IF(C46="","",ROW()-1)</f>
        <v/>
      </c>
      <c r="B46" s="10" t="n">
        <v>46135</v>
      </c>
      <c r="C46" s="11" t="inlineStr">
        <is>
          <t>Praga Poludnie Administracja Nieruchomosci Nr 7</t>
        </is>
      </c>
      <c r="D46" s="9" t="inlineStr">
        <is>
          <t>Zarzadcy nieruchomosci</t>
        </is>
      </c>
      <c r="E46" s="9" t="inlineStr">
        <is>
          <t>Niski (czerwony)</t>
        </is>
      </c>
      <c r="F46" s="9" t="inlineStr">
        <is>
          <t>Praga-Poludnie</t>
        </is>
      </c>
      <c r="G46" s="11" t="inlineStr">
        <is>
          <t>+48 22 277 32 87</t>
        </is>
      </c>
      <c r="H46" s="11" t="n"/>
      <c r="I46" s="11" t="n"/>
      <c r="J46" s="11" t="inlineStr">
        <is>
          <t>Hetmanska 25</t>
        </is>
      </c>
      <c r="K46" s="11" t="n"/>
      <c r="L46" s="11" t="inlineStr">
        <is>
          <t>Zarzadca / Inspektor nadzoru / Konserwator</t>
        </is>
      </c>
      <c r="M46" s="12" t="n">
        <v>40</v>
      </c>
      <c r="N46" s="13" t="n">
        <v>3.4</v>
      </c>
      <c r="O46" s="9" t="inlineStr">
        <is>
          <t>Google Maps</t>
        </is>
      </c>
      <c r="P46" s="9" t="inlineStr">
        <is>
          <t>Nowa</t>
        </is>
      </c>
      <c r="Q46" s="10" t="n"/>
      <c r="R46" s="10" t="n"/>
      <c r="S46" s="11" t="inlineStr">
        <is>
          <t>Urzedowe ZGN. 3.4 gw. Niski priorytet.</t>
        </is>
      </c>
      <c r="T46" s="11" t="n"/>
    </row>
    <row r="47" ht="22" customHeight="1">
      <c r="A47" s="9">
        <f>IF(C47="","",ROW()-1)</f>
        <v/>
      </c>
      <c r="B47" s="10" t="n">
        <v>46135</v>
      </c>
      <c r="C47" s="11" t="inlineStr">
        <is>
          <t>Acresta - zarzadzanie nieruchomosciami i najmem</t>
        </is>
      </c>
      <c r="D47" s="9" t="inlineStr">
        <is>
          <t>Zarzadcy nieruchomosci</t>
        </is>
      </c>
      <c r="E47" s="9" t="inlineStr">
        <is>
          <t>Sredni (zolty)</t>
        </is>
      </c>
      <c r="F47" s="9" t="inlineStr">
        <is>
          <t>Praga-Poludnie</t>
        </is>
      </c>
      <c r="G47" s="11" t="inlineStr">
        <is>
          <t>+48 790 270 973</t>
        </is>
      </c>
      <c r="H47" s="11" t="n"/>
      <c r="I47" s="11" t="n"/>
      <c r="J47" s="11" t="inlineStr">
        <is>
          <t>Ostrobramska 101/210</t>
        </is>
      </c>
      <c r="K47" s="11" t="n"/>
      <c r="L47" s="11" t="inlineStr">
        <is>
          <t>Zarzadca / Inspektor nadzoru / Konserwator</t>
        </is>
      </c>
      <c r="M47" s="12" t="n">
        <v>48</v>
      </c>
      <c r="N47" s="13" t="n">
        <v>3.9</v>
      </c>
      <c r="O47" s="9" t="inlineStr">
        <is>
          <t>Google Maps</t>
        </is>
      </c>
      <c r="P47" s="9" t="inlineStr">
        <is>
          <t>Nowa</t>
        </is>
      </c>
      <c r="Q47" s="10" t="n"/>
      <c r="R47" s="10" t="n"/>
      <c r="S47" s="11" t="inlineStr">
        <is>
          <t>3.9 gw 48 opinii. Sredni lead. Kontakt z zarzadem mozliwy wg opinii.</t>
        </is>
      </c>
      <c r="T47" s="11" t="n"/>
    </row>
    <row r="48" ht="22" customHeight="1">
      <c r="A48" s="9">
        <f>IF(C48="","",ROW()-1)</f>
        <v/>
      </c>
      <c r="B48" s="10" t="n">
        <v>46135</v>
      </c>
      <c r="C48" s="11" t="inlineStr">
        <is>
          <t>Domanski Zarzadzanie Nieruchomosciami</t>
        </is>
      </c>
      <c r="D48" s="9" t="inlineStr">
        <is>
          <t>Zarzadcy nieruchomosci</t>
        </is>
      </c>
      <c r="E48" s="9" t="inlineStr">
        <is>
          <t>TOP (zielony)</t>
        </is>
      </c>
      <c r="F48" s="9" t="inlineStr">
        <is>
          <t>Praga-Poludnie</t>
        </is>
      </c>
      <c r="G48" s="11" t="inlineStr">
        <is>
          <t>+48 512 963 071</t>
        </is>
      </c>
      <c r="H48" s="11" t="n"/>
      <c r="I48" s="11" t="n"/>
      <c r="J48" s="11" t="inlineStr">
        <is>
          <t>Wandy 11A/L3</t>
        </is>
      </c>
      <c r="K48" s="11" t="n"/>
      <c r="L48" s="11" t="inlineStr">
        <is>
          <t>Zarzadca / Inspektor nadzoru / Konserwator</t>
        </is>
      </c>
      <c r="M48" s="12" t="n">
        <v>36</v>
      </c>
      <c r="N48" s="13" t="n">
        <v>4.2</v>
      </c>
      <c r="O48" s="9" t="inlineStr">
        <is>
          <t>Google Maps</t>
        </is>
      </c>
      <c r="P48" s="9" t="inlineStr">
        <is>
          <t>Nowa</t>
        </is>
      </c>
      <c r="Q48" s="10" t="n"/>
      <c r="R48" s="10" t="n"/>
      <c r="S48" s="11" t="inlineStr">
        <is>
          <t>4.2 gw 36 opinii. Polecany. Dobry lead.</t>
        </is>
      </c>
      <c r="T48" s="11" t="n"/>
    </row>
    <row r="49" ht="22" customHeight="1">
      <c r="A49" s="9">
        <f>IF(C49="","",ROW()-1)</f>
        <v/>
      </c>
      <c r="B49" s="10" t="n">
        <v>46135</v>
      </c>
      <c r="C49" s="11" t="inlineStr">
        <is>
          <t>Gestor Zarzadca Nieruchomosci</t>
        </is>
      </c>
      <c r="D49" s="9" t="inlineStr">
        <is>
          <t>Zarzadcy nieruchomosci</t>
        </is>
      </c>
      <c r="E49" s="9" t="inlineStr">
        <is>
          <t>Niski (czerwony)</t>
        </is>
      </c>
      <c r="F49" s="9" t="inlineStr">
        <is>
          <t>Praga-Poludnie</t>
        </is>
      </c>
      <c r="G49" s="11" t="inlineStr">
        <is>
          <t>+48 22 637 31 13</t>
        </is>
      </c>
      <c r="H49" s="11" t="n"/>
      <c r="I49" s="11" t="n"/>
      <c r="J49" s="11" t="inlineStr">
        <is>
          <t>Grochowska 306</t>
        </is>
      </c>
      <c r="K49" s="11" t="n"/>
      <c r="L49" s="11" t="inlineStr">
        <is>
          <t>Zarzadca / Inspektor nadzoru / Konserwator</t>
        </is>
      </c>
      <c r="M49" s="12" t="n">
        <v>63</v>
      </c>
      <c r="N49" s="13" t="n">
        <v>2.8</v>
      </c>
      <c r="O49" s="9" t="inlineStr">
        <is>
          <t>Google Maps</t>
        </is>
      </c>
      <c r="P49" s="9" t="inlineStr">
        <is>
          <t>Nowa</t>
        </is>
      </c>
      <c r="Q49" s="10" t="n"/>
      <c r="R49" s="10" t="n"/>
      <c r="S49" s="11" t="inlineStr">
        <is>
          <t>2.8 gw - pomin. Lead grade D.</t>
        </is>
      </c>
      <c r="T49" s="11" t="n"/>
    </row>
    <row r="50" ht="22" customHeight="1">
      <c r="A50" s="9">
        <f>IF(C50="","",ROW()-1)</f>
        <v/>
      </c>
      <c r="B50" s="10" t="n">
        <v>46135</v>
      </c>
      <c r="C50" s="11" t="inlineStr">
        <is>
          <t>Agencja i Biuro Nieruchomosci Warszawa Bielany</t>
        </is>
      </c>
      <c r="D50" s="9" t="inlineStr">
        <is>
          <t>Agencje nieruchomosci</t>
        </is>
      </c>
      <c r="E50" s="9" t="inlineStr">
        <is>
          <t>TOP (zielony)</t>
        </is>
      </c>
      <c r="F50" s="9" t="inlineStr">
        <is>
          <t>Bielany</t>
        </is>
      </c>
      <c r="G50" s="11" t="inlineStr">
        <is>
          <t>+48 518 251 058</t>
        </is>
      </c>
      <c r="H50" s="11" t="n"/>
      <c r="I50" s="11" t="n"/>
      <c r="J50" s="11" t="inlineStr">
        <is>
          <t>Sokratesa 7</t>
        </is>
      </c>
      <c r="K50" s="11" t="n"/>
      <c r="L50" s="11" t="inlineStr">
        <is>
          <t>Agent / Manager biura</t>
        </is>
      </c>
      <c r="M50" s="12" t="n">
        <v>58</v>
      </c>
      <c r="N50" s="13" t="n">
        <v>4.9</v>
      </c>
      <c r="O50" s="9" t="inlineStr">
        <is>
          <t>Google Maps</t>
        </is>
      </c>
      <c r="P50" s="9" t="inlineStr">
        <is>
          <t>Nowa</t>
        </is>
      </c>
      <c r="Q50" s="10" t="n"/>
      <c r="R50" s="10" t="n"/>
      <c r="S50" s="11" t="inlineStr">
        <is>
          <t>Top biuro nieruchomosci Bielany. 58 op 4.9.</t>
        </is>
      </c>
      <c r="T50" s="11" t="n"/>
    </row>
    <row r="51" ht="22" customHeight="1">
      <c r="A51" s="9">
        <f>IF(C51="","",ROW()-1)</f>
        <v/>
      </c>
      <c r="B51" s="10" t="n">
        <v>46135</v>
      </c>
      <c r="C51" s="11" t="inlineStr">
        <is>
          <t>ZEST Zarzadzanie Nieruchomosciami i Inwestycjami</t>
        </is>
      </c>
      <c r="D51" s="9" t="inlineStr">
        <is>
          <t>Zarzadcy nieruchomosci</t>
        </is>
      </c>
      <c r="E51" s="9" t="inlineStr">
        <is>
          <t>Niski (czerwony)</t>
        </is>
      </c>
      <c r="F51" s="9" t="inlineStr">
        <is>
          <t>Bielany</t>
        </is>
      </c>
      <c r="G51" s="11" t="inlineStr">
        <is>
          <t>+48 22 834 71 38</t>
        </is>
      </c>
      <c r="H51" s="11" t="n"/>
      <c r="I51" s="11" t="n"/>
      <c r="J51" s="11" t="inlineStr">
        <is>
          <t>Wrzeciono 65</t>
        </is>
      </c>
      <c r="K51" s="11" t="n"/>
      <c r="L51" s="11" t="inlineStr">
        <is>
          <t>Zarzadca / Inspektor nadzoru / Konserwator</t>
        </is>
      </c>
      <c r="M51" s="12" t="n">
        <v>66</v>
      </c>
      <c r="N51" s="13" t="n">
        <v>3.1</v>
      </c>
      <c r="O51" s="9" t="inlineStr">
        <is>
          <t>Google Maps</t>
        </is>
      </c>
      <c r="P51" s="9" t="inlineStr">
        <is>
          <t>Nowa</t>
        </is>
      </c>
      <c r="Q51" s="10" t="n"/>
      <c r="R51" s="10" t="n"/>
      <c r="S51" s="11" t="inlineStr">
        <is>
          <t>3.1 gw 66 opinii. Sredni-niski priorytet. Pomin na start.</t>
        </is>
      </c>
      <c r="T51" s="11" t="n"/>
    </row>
    <row r="52" ht="22" customHeight="1">
      <c r="A52" s="9">
        <f>IF(C52="","",ROW()-1)</f>
        <v/>
      </c>
      <c r="B52" s="10" t="n">
        <v>46135</v>
      </c>
      <c r="C52" s="11" t="inlineStr">
        <is>
          <t>Zaklad Gospodarowania Nieruchomosciami Bielany</t>
        </is>
      </c>
      <c r="D52" s="9" t="inlineStr">
        <is>
          <t>Zarzadcy nieruchomosci</t>
        </is>
      </c>
      <c r="E52" s="9" t="inlineStr">
        <is>
          <t>TOP (zielony)</t>
        </is>
      </c>
      <c r="F52" s="9" t="inlineStr">
        <is>
          <t>Bielany</t>
        </is>
      </c>
      <c r="G52" s="11" t="inlineStr">
        <is>
          <t>+48 22 670 52 00</t>
        </is>
      </c>
      <c r="H52" s="11" t="n"/>
      <c r="I52" s="11" t="n"/>
      <c r="J52" s="11" t="inlineStr">
        <is>
          <t>Grebalowska 23/25</t>
        </is>
      </c>
      <c r="K52" s="11" t="n"/>
      <c r="L52" s="11" t="inlineStr">
        <is>
          <t>Zarzadca / Inspektor nadzoru / Konserwator</t>
        </is>
      </c>
      <c r="M52" s="12" t="n">
        <v>55</v>
      </c>
      <c r="N52" s="13" t="n">
        <v>4.1</v>
      </c>
      <c r="O52" s="9" t="inlineStr">
        <is>
          <t>Google Maps</t>
        </is>
      </c>
      <c r="P52" s="9" t="inlineStr">
        <is>
          <t>Nowa</t>
        </is>
      </c>
      <c r="Q52" s="10" t="n"/>
      <c r="R52" s="10" t="n"/>
      <c r="S52" s="11" t="inlineStr">
        <is>
          <t>ZGN Bielany - 4.1 gw 55 opinii. Duzy klient potencjalny.</t>
        </is>
      </c>
      <c r="T52" s="11" t="n"/>
    </row>
    <row r="53" ht="22" customHeight="1">
      <c r="A53" s="9">
        <f>IF(C53="","",ROW()-1)</f>
        <v/>
      </c>
      <c r="B53" s="10" t="n">
        <v>46135</v>
      </c>
      <c r="C53" s="11" t="inlineStr">
        <is>
          <t>Posesor Sp. z o.o.</t>
        </is>
      </c>
      <c r="D53" s="9" t="inlineStr">
        <is>
          <t>Zarzadcy nieruchomosci</t>
        </is>
      </c>
      <c r="E53" s="9" t="inlineStr">
        <is>
          <t>Niski (czerwony)</t>
        </is>
      </c>
      <c r="F53" s="9" t="inlineStr">
        <is>
          <t>Bielany</t>
        </is>
      </c>
      <c r="G53" s="11" t="inlineStr">
        <is>
          <t>+48 22 834 03 14</t>
        </is>
      </c>
      <c r="H53" s="11" t="n"/>
      <c r="I53" s="11" t="n"/>
      <c r="J53" s="11" t="inlineStr">
        <is>
          <t>Zofii Nalkowskiej 11</t>
        </is>
      </c>
      <c r="K53" s="11" t="n"/>
      <c r="L53" s="11" t="inlineStr">
        <is>
          <t>Zarzadca / Inspektor nadzoru / Konserwator</t>
        </is>
      </c>
      <c r="M53" s="12" t="n">
        <v>48</v>
      </c>
      <c r="N53" s="13" t="n">
        <v>2.7</v>
      </c>
      <c r="O53" s="9" t="inlineStr">
        <is>
          <t>Google Maps</t>
        </is>
      </c>
      <c r="P53" s="9" t="inlineStr">
        <is>
          <t>Nowa</t>
        </is>
      </c>
      <c r="Q53" s="10" t="n"/>
      <c r="R53" s="10" t="n"/>
      <c r="S53" s="11" t="inlineStr">
        <is>
          <t>2.7 gw 48 opinii - pomin. Dobrze prowadzi wspolnoty wg opinii, ale slaba ogolna ocena.</t>
        </is>
      </c>
      <c r="T53" s="11" t="n"/>
    </row>
    <row r="54" ht="22" customHeight="1">
      <c r="A54" s="9">
        <f>IF(C54="","",ROW()-1)</f>
        <v/>
      </c>
      <c r="B54" s="10" t="n">
        <v>46135</v>
      </c>
      <c r="C54" s="11" t="inlineStr">
        <is>
          <t>Ko-Ra Sp. z o.o.</t>
        </is>
      </c>
      <c r="D54" s="9" t="inlineStr">
        <is>
          <t>Zarzadcy nieruchomosci</t>
        </is>
      </c>
      <c r="E54" s="9" t="inlineStr">
        <is>
          <t>Niski (czerwony)</t>
        </is>
      </c>
      <c r="F54" s="9" t="inlineStr">
        <is>
          <t>Bielany</t>
        </is>
      </c>
      <c r="G54" s="11" t="inlineStr">
        <is>
          <t>+48 22 633 47 77</t>
        </is>
      </c>
      <c r="H54" s="11" t="n"/>
      <c r="I54" s="11" t="n"/>
      <c r="J54" s="11" t="inlineStr">
        <is>
          <t>Perzynskiego 12</t>
        </is>
      </c>
      <c r="K54" s="11" t="n"/>
      <c r="L54" s="11" t="inlineStr">
        <is>
          <t>Zarzadca / Inspektor nadzoru / Konserwator</t>
        </is>
      </c>
      <c r="M54" s="12" t="n">
        <v>55</v>
      </c>
      <c r="N54" s="13" t="n">
        <v>2.8</v>
      </c>
      <c r="O54" s="9" t="inlineStr">
        <is>
          <t>Google Maps</t>
        </is>
      </c>
      <c r="P54" s="9" t="inlineStr">
        <is>
          <t>Nowa</t>
        </is>
      </c>
      <c r="Q54" s="10" t="n"/>
      <c r="R54" s="10" t="n"/>
      <c r="S54" s="11" t="inlineStr">
        <is>
          <t>2.8 gw - niski priorytet.</t>
        </is>
      </c>
      <c r="T54" s="11" t="n"/>
    </row>
    <row r="55" ht="22" customHeight="1">
      <c r="A55" s="9">
        <f>IF(C55="","",ROW()-1)</f>
        <v/>
      </c>
      <c r="B55" s="10" t="n">
        <v>46135</v>
      </c>
      <c r="C55" s="11" t="inlineStr">
        <is>
          <t>ATUT Biuro Obrotu Nieruchomosciami</t>
        </is>
      </c>
      <c r="D55" s="9" t="inlineStr">
        <is>
          <t>Agencje nieruchomosci</t>
        </is>
      </c>
      <c r="E55" s="9" t="inlineStr">
        <is>
          <t>TOP (zielony)</t>
        </is>
      </c>
      <c r="F55" s="9" t="inlineStr">
        <is>
          <t>Bielany</t>
        </is>
      </c>
      <c r="G55" s="11" t="inlineStr">
        <is>
          <t>+48 22 834 02 10</t>
        </is>
      </c>
      <c r="H55" s="11" t="n"/>
      <c r="I55" s="11" t="n"/>
      <c r="J55" s="11" t="inlineStr">
        <is>
          <t>Al. Zjednoczenia 11</t>
        </is>
      </c>
      <c r="K55" s="11" t="n"/>
      <c r="L55" s="11" t="inlineStr">
        <is>
          <t>Agent / Manager biura</t>
        </is>
      </c>
      <c r="M55" s="12" t="n">
        <v>23</v>
      </c>
      <c r="N55" s="13" t="n">
        <v>4.6</v>
      </c>
      <c r="O55" s="9" t="inlineStr">
        <is>
          <t>Google Maps</t>
        </is>
      </c>
      <c r="P55" s="9" t="inlineStr">
        <is>
          <t>Nowa</t>
        </is>
      </c>
      <c r="Q55" s="10" t="n"/>
      <c r="R55" s="10" t="n"/>
      <c r="S55" s="11" t="inlineStr">
        <is>
          <t>Agencja 4.6 gw 23 opinii. Solidna.</t>
        </is>
      </c>
      <c r="T55" s="11" t="n"/>
    </row>
    <row r="56" ht="22" customHeight="1">
      <c r="A56" s="9">
        <f>IF(C56="","",ROW()-1)</f>
        <v/>
      </c>
      <c r="B56" s="10" t="n">
        <v>46135</v>
      </c>
      <c r="C56" s="11" t="inlineStr">
        <is>
          <t>GZN - Grupa Zarzadzania Nieruchomosciami</t>
        </is>
      </c>
      <c r="D56" s="9" t="inlineStr">
        <is>
          <t>Zarzadcy nieruchomosci</t>
        </is>
      </c>
      <c r="E56" s="9" t="inlineStr">
        <is>
          <t>Niski (czerwony)</t>
        </is>
      </c>
      <c r="F56" s="9" t="inlineStr">
        <is>
          <t>Bielany</t>
        </is>
      </c>
      <c r="G56" s="11" t="inlineStr">
        <is>
          <t>+48 22 663 31 63</t>
        </is>
      </c>
      <c r="H56" s="11" t="n"/>
      <c r="I56" s="11" t="n"/>
      <c r="J56" s="11" t="inlineStr">
        <is>
          <t>Hajoty 61</t>
        </is>
      </c>
      <c r="K56" s="11" t="n"/>
      <c r="L56" s="11" t="inlineStr">
        <is>
          <t>Zarzadca / Inspektor nadzoru / Konserwator</t>
        </is>
      </c>
      <c r="M56" s="12" t="n">
        <v>8</v>
      </c>
      <c r="N56" s="13" t="n">
        <v>3.8</v>
      </c>
      <c r="O56" s="9" t="inlineStr">
        <is>
          <t>Google Maps</t>
        </is>
      </c>
      <c r="P56" s="9" t="inlineStr">
        <is>
          <t>Nowa</t>
        </is>
      </c>
      <c r="Q56" s="10" t="n"/>
      <c r="R56" s="10" t="n"/>
      <c r="S56" s="11" t="inlineStr">
        <is>
          <t>Tylko 8 opinii 3.8 gw. Sredni lead.</t>
        </is>
      </c>
      <c r="T56" s="11" t="n"/>
    </row>
    <row r="57" ht="22" customHeight="1">
      <c r="A57" s="9">
        <f>IF(C57="","",ROW()-1)</f>
        <v/>
      </c>
      <c r="B57" s="10" t="n">
        <v>46135</v>
      </c>
      <c r="C57" s="11" t="inlineStr">
        <is>
          <t>Adminex - Zarzadzanie nieruchomosciami</t>
        </is>
      </c>
      <c r="D57" s="9" t="inlineStr">
        <is>
          <t>Zarzadcy nieruchomosci</t>
        </is>
      </c>
      <c r="E57" s="9" t="inlineStr">
        <is>
          <t>Niski (czerwony)</t>
        </is>
      </c>
      <c r="F57" s="9" t="inlineStr">
        <is>
          <t>Bielany</t>
        </is>
      </c>
      <c r="G57" s="11" t="inlineStr">
        <is>
          <t>+48 22 697 06 15</t>
        </is>
      </c>
      <c r="H57" s="11" t="n"/>
      <c r="I57" s="11" t="n"/>
      <c r="J57" s="11" t="inlineStr">
        <is>
          <t>Ceglowska 19</t>
        </is>
      </c>
      <c r="K57" s="11" t="n"/>
      <c r="L57" s="11" t="inlineStr">
        <is>
          <t>Zarzadca / Inspektor nadzoru / Konserwator</t>
        </is>
      </c>
      <c r="M57" s="12" t="n">
        <v>9</v>
      </c>
      <c r="N57" s="13" t="n">
        <v>2.8</v>
      </c>
      <c r="O57" s="9" t="inlineStr">
        <is>
          <t>Google Maps</t>
        </is>
      </c>
      <c r="P57" s="9" t="inlineStr">
        <is>
          <t>Nowa</t>
        </is>
      </c>
      <c r="Q57" s="10" t="n"/>
      <c r="R57" s="10" t="n"/>
      <c r="S57" s="11" t="inlineStr">
        <is>
          <t>2.8 gw 9 opinii - niski priorytet.</t>
        </is>
      </c>
      <c r="T57" s="11" t="n"/>
    </row>
    <row r="58" ht="22" customHeight="1">
      <c r="A58" s="9">
        <f>IF(C58="","",ROW()-1)</f>
        <v/>
      </c>
      <c r="B58" s="10" t="n">
        <v>46135</v>
      </c>
      <c r="C58" s="11" t="inlineStr">
        <is>
          <t>Ekipa remontowa WND Sp. z o.o.</t>
        </is>
      </c>
      <c r="D58" s="9" t="inlineStr">
        <is>
          <t>Firmy budowlane</t>
        </is>
      </c>
      <c r="E58" s="9" t="inlineStr">
        <is>
          <t>TOP (zielony)</t>
        </is>
      </c>
      <c r="F58" s="9" t="inlineStr">
        <is>
          <t>Mokotow</t>
        </is>
      </c>
      <c r="G58" s="11" t="inlineStr">
        <is>
          <t>+48 667 532 900</t>
        </is>
      </c>
      <c r="H58" s="11" t="n"/>
      <c r="I58" s="11" t="n"/>
      <c r="J58" s="11" t="inlineStr">
        <is>
          <t>Konduktorska 18</t>
        </is>
      </c>
      <c r="K58" s="11" t="n"/>
      <c r="L58" s="11" t="inlineStr">
        <is>
          <t>Kierownik budowy / Zaopatrzenie / Wlasciciel</t>
        </is>
      </c>
      <c r="M58" s="12" t="n">
        <v>23</v>
      </c>
      <c r="N58" s="13" t="n">
        <v>4.8</v>
      </c>
      <c r="O58" s="9" t="inlineStr">
        <is>
          <t>Google Maps</t>
        </is>
      </c>
      <c r="P58" s="9" t="inlineStr">
        <is>
          <t>Nowa</t>
        </is>
      </c>
      <c r="Q58" s="10" t="n"/>
      <c r="R58" s="10" t="n"/>
      <c r="S58" s="11" t="inlineStr">
        <is>
          <t>Wykonczenia wnetrz. 4.8 gw 23 opinii. Moze byc klientem MapJob.</t>
        </is>
      </c>
      <c r="T58" s="11" t="n"/>
    </row>
    <row r="59" ht="22" customHeight="1">
      <c r="A59" s="9">
        <f>IF(C59="","",ROW()-1)</f>
        <v/>
      </c>
      <c r="B59" s="10" t="n">
        <v>46135</v>
      </c>
      <c r="C59" s="11" t="inlineStr">
        <is>
          <t>Sikor Home Bud - Uslugi remontowe, elewacje</t>
        </is>
      </c>
      <c r="D59" s="9" t="inlineStr">
        <is>
          <t>Firmy budowlane</t>
        </is>
      </c>
      <c r="E59" s="9" t="inlineStr">
        <is>
          <t>TOP (zielony)</t>
        </is>
      </c>
      <c r="F59" s="9" t="inlineStr">
        <is>
          <t>Mokotow</t>
        </is>
      </c>
      <c r="G59" s="11" t="inlineStr">
        <is>
          <t>+48 794 777 470</t>
        </is>
      </c>
      <c r="H59" s="11" t="n"/>
      <c r="I59" s="11" t="n"/>
      <c r="J59" s="11" t="inlineStr">
        <is>
          <t>Mozarta 6</t>
        </is>
      </c>
      <c r="K59" s="11" t="n"/>
      <c r="L59" s="11" t="inlineStr">
        <is>
          <t>Kierownik budowy / Zaopatrzenie / Wlasciciel</t>
        </is>
      </c>
      <c r="M59" s="12" t="n">
        <v>46</v>
      </c>
      <c r="N59" s="13" t="n">
        <v>5</v>
      </c>
      <c r="O59" s="9" t="inlineStr">
        <is>
          <t>Google Maps</t>
        </is>
      </c>
      <c r="P59" s="9" t="inlineStr">
        <is>
          <t>Nowa</t>
        </is>
      </c>
      <c r="Q59" s="10" t="n"/>
      <c r="R59" s="10" t="n"/>
      <c r="S59" s="11" t="inlineStr">
        <is>
          <t>5.0 gw 46 opinii. Top firma remontowa. Wlasciciel dostepny wg opinii.</t>
        </is>
      </c>
      <c r="T59" s="11" t="n"/>
    </row>
    <row r="60" ht="22" customHeight="1">
      <c r="A60" s="9">
        <f>IF(C60="","",ROW()-1)</f>
        <v/>
      </c>
      <c r="B60" s="10" t="n">
        <v>46135</v>
      </c>
      <c r="C60" s="11" t="inlineStr">
        <is>
          <t>Remont ArtBud - wykonczenia pod klucz</t>
        </is>
      </c>
      <c r="D60" s="9" t="inlineStr">
        <is>
          <t>Firmy budowlane</t>
        </is>
      </c>
      <c r="E60" s="9" t="inlineStr">
        <is>
          <t>TOP (zielony)</t>
        </is>
      </c>
      <c r="F60" s="9" t="inlineStr">
        <is>
          <t>Mokotow</t>
        </is>
      </c>
      <c r="G60" s="11" t="inlineStr">
        <is>
          <t>+48 512 514 539</t>
        </is>
      </c>
      <c r="H60" s="11" t="n"/>
      <c r="I60" s="11" t="n"/>
      <c r="J60" s="11" t="inlineStr">
        <is>
          <t>Batalionu AK Rys 2/U1</t>
        </is>
      </c>
      <c r="K60" s="11" t="n"/>
      <c r="L60" s="11" t="inlineStr">
        <is>
          <t>Kierownik budowy / Zaopatrzenie / Wlasciciel</t>
        </is>
      </c>
      <c r="M60" s="12" t="n">
        <v>25</v>
      </c>
      <c r="N60" s="13" t="n">
        <v>4.7</v>
      </c>
      <c r="O60" s="9" t="inlineStr">
        <is>
          <t>Google Maps</t>
        </is>
      </c>
      <c r="P60" s="9" t="inlineStr">
        <is>
          <t>Nowa</t>
        </is>
      </c>
      <c r="Q60" s="10" t="n"/>
      <c r="R60" s="10" t="n"/>
      <c r="S60" s="11" t="inlineStr">
        <is>
          <t>Solidna firma remontowa. 4.7 gw 25 opinii.</t>
        </is>
      </c>
      <c r="T60" s="11" t="n"/>
    </row>
    <row r="61" ht="22" customHeight="1">
      <c r="A61" s="9">
        <f>IF(C61="","",ROW()-1)</f>
        <v/>
      </c>
      <c r="B61" s="10" t="n">
        <v>46135</v>
      </c>
      <c r="C61" s="11" t="inlineStr">
        <is>
          <t>LIS Group sp. z o.o.</t>
        </is>
      </c>
      <c r="D61" s="9" t="inlineStr">
        <is>
          <t>Firmy budowlane</t>
        </is>
      </c>
      <c r="E61" s="9" t="inlineStr">
        <is>
          <t>Sredni (zolty)</t>
        </is>
      </c>
      <c r="F61" s="9" t="inlineStr">
        <is>
          <t>Mokotow</t>
        </is>
      </c>
      <c r="G61" s="11" t="inlineStr">
        <is>
          <t>+48 579 800 772</t>
        </is>
      </c>
      <c r="H61" s="11" t="n"/>
      <c r="I61" s="11" t="n"/>
      <c r="J61" s="11" t="inlineStr">
        <is>
          <t>Ksawerow 3</t>
        </is>
      </c>
      <c r="K61" s="11" t="n"/>
      <c r="L61" s="11" t="inlineStr">
        <is>
          <t>Kierownik budowy / Zaopatrzenie / Wlasciciel</t>
        </is>
      </c>
      <c r="M61" s="12" t="n">
        <v>18</v>
      </c>
      <c r="N61" s="13" t="n">
        <v>4.8</v>
      </c>
      <c r="O61" s="9" t="inlineStr">
        <is>
          <t>Google Maps</t>
        </is>
      </c>
      <c r="P61" s="9" t="inlineStr">
        <is>
          <t>Nowa</t>
        </is>
      </c>
      <c r="Q61" s="10" t="n"/>
      <c r="R61" s="10" t="n"/>
      <c r="S61" s="11" t="inlineStr">
        <is>
          <t>Firma budowlana (kolejowa). 18 op 4.8.</t>
        </is>
      </c>
      <c r="T61" s="11" t="n"/>
    </row>
    <row r="62" ht="22" customHeight="1">
      <c r="A62" s="9">
        <f>IF(C62="","",ROW()-1)</f>
        <v/>
      </c>
      <c r="B62" s="10" t="n">
        <v>46135</v>
      </c>
      <c r="C62" s="11" t="inlineStr">
        <is>
          <t>WR Remonty</t>
        </is>
      </c>
      <c r="D62" s="9" t="inlineStr">
        <is>
          <t>Firmy budowlane</t>
        </is>
      </c>
      <c r="E62" s="9" t="inlineStr">
        <is>
          <t>Sredni (zolty)</t>
        </is>
      </c>
      <c r="F62" s="9" t="inlineStr">
        <is>
          <t>Mokotow</t>
        </is>
      </c>
      <c r="G62" s="11" t="inlineStr">
        <is>
          <t>+48 505 488 421</t>
        </is>
      </c>
      <c r="H62" s="11" t="n"/>
      <c r="I62" s="11" t="n"/>
      <c r="J62" s="11" t="inlineStr">
        <is>
          <t>Platowcowa 15a</t>
        </is>
      </c>
      <c r="K62" s="11" t="n"/>
      <c r="L62" s="11" t="inlineStr">
        <is>
          <t>Kierownik budowy / Zaopatrzenie / Wlasciciel</t>
        </is>
      </c>
      <c r="M62" s="12" t="n">
        <v>6</v>
      </c>
      <c r="N62" s="13" t="n">
        <v>5</v>
      </c>
      <c r="O62" s="9" t="inlineStr">
        <is>
          <t>Google Maps</t>
        </is>
      </c>
      <c r="P62" s="9" t="inlineStr">
        <is>
          <t>Nowa</t>
        </is>
      </c>
      <c r="Q62" s="10" t="n"/>
      <c r="R62" s="10" t="n"/>
      <c r="S62" s="11" t="inlineStr">
        <is>
          <t>Mala firma 5.0 gw. Sredni lead.</t>
        </is>
      </c>
      <c r="T62" s="11" t="n"/>
    </row>
    <row r="63" ht="22" customHeight="1">
      <c r="A63" s="9">
        <f>IF(C63="","",ROW()-1)</f>
        <v/>
      </c>
      <c r="B63" s="10" t="n">
        <v>46135</v>
      </c>
      <c r="C63" s="11" t="inlineStr">
        <is>
          <t>MDekor - Remontuj z glowa</t>
        </is>
      </c>
      <c r="D63" s="9" t="inlineStr">
        <is>
          <t>Firmy budowlane</t>
        </is>
      </c>
      <c r="E63" s="9" t="inlineStr">
        <is>
          <t>Sredni (zolty)</t>
        </is>
      </c>
      <c r="F63" s="9" t="inlineStr">
        <is>
          <t>Mokotow</t>
        </is>
      </c>
      <c r="G63" s="11" t="inlineStr">
        <is>
          <t>+48 607 683 597</t>
        </is>
      </c>
      <c r="H63" s="11" t="n"/>
      <c r="I63" s="11" t="n"/>
      <c r="J63" s="11" t="inlineStr">
        <is>
          <t>Al. Niepodleglosci 132/136 m.50</t>
        </is>
      </c>
      <c r="K63" s="11" t="n"/>
      <c r="L63" s="11" t="inlineStr">
        <is>
          <t>Kierownik budowy / Zaopatrzenie / Wlasciciel</t>
        </is>
      </c>
      <c r="M63" s="12" t="n">
        <v>14</v>
      </c>
      <c r="N63" s="13" t="n">
        <v>4.1</v>
      </c>
      <c r="O63" s="9" t="inlineStr">
        <is>
          <t>Google Maps</t>
        </is>
      </c>
      <c r="P63" s="9" t="inlineStr">
        <is>
          <t>Nowa</t>
        </is>
      </c>
      <c r="Q63" s="10" t="n"/>
      <c r="R63" s="10" t="n"/>
      <c r="S63" s="11" t="inlineStr">
        <is>
          <t>4.1 gw 14 opinii. Sredni lead, ale prowadzi klient przez remont.</t>
        </is>
      </c>
      <c r="T63" s="11" t="n"/>
    </row>
    <row r="64" ht="22" customHeight="1">
      <c r="A64" s="9">
        <f>IF(C64="","",ROW()-1)</f>
        <v/>
      </c>
      <c r="B64" s="10" t="n">
        <v>46135</v>
      </c>
      <c r="C64" s="11" t="inlineStr">
        <is>
          <t>Totalne Remonty Szadkowskiego</t>
        </is>
      </c>
      <c r="D64" s="9" t="inlineStr">
        <is>
          <t>Firmy budowlane</t>
        </is>
      </c>
      <c r="E64" s="9" t="inlineStr">
        <is>
          <t>Niski (czerwony)</t>
        </is>
      </c>
      <c r="F64" s="9" t="inlineStr">
        <is>
          <t>Mokotow</t>
        </is>
      </c>
      <c r="G64" s="11" t="inlineStr">
        <is>
          <t>+48 505 208 505</t>
        </is>
      </c>
      <c r="H64" s="11" t="n"/>
      <c r="I64" s="11" t="n"/>
      <c r="J64" s="11" t="inlineStr">
        <is>
          <t>Domaniewska 37</t>
        </is>
      </c>
      <c r="K64" s="11" t="n"/>
      <c r="L64" s="11" t="inlineStr">
        <is>
          <t>Kierownik budowy / Zaopatrzenie / Wlasciciel</t>
        </is>
      </c>
      <c r="M64" s="12" t="n">
        <v>4</v>
      </c>
      <c r="N64" s="13" t="n">
        <v>4</v>
      </c>
      <c r="O64" s="9" t="inlineStr">
        <is>
          <t>Google Maps</t>
        </is>
      </c>
      <c r="P64" s="9" t="inlineStr">
        <is>
          <t>Nowa</t>
        </is>
      </c>
      <c r="Q64" s="10" t="n"/>
      <c r="R64" s="10" t="n"/>
      <c r="S64" s="11" t="inlineStr">
        <is>
          <t>Mala firma 4 opinie. Niski priorytet.</t>
        </is>
      </c>
      <c r="T64" s="11" t="n"/>
    </row>
    <row r="65" ht="22" customHeight="1">
      <c r="A65" s="9">
        <f>IF(C65="","",ROW()-1)</f>
        <v/>
      </c>
      <c r="B65" s="10" t="n">
        <v>46135</v>
      </c>
      <c r="C65" s="11" t="inlineStr">
        <is>
          <t>Develia - Deweloper mieszkan Warszawa</t>
        </is>
      </c>
      <c r="D65" s="9" t="inlineStr">
        <is>
          <t>Firmy budowlane</t>
        </is>
      </c>
      <c r="E65" s="9" t="inlineStr">
        <is>
          <t>TOP (zielony)</t>
        </is>
      </c>
      <c r="F65" s="9" t="inlineStr">
        <is>
          <t>Praga-Poludnie</t>
        </is>
      </c>
      <c r="G65" s="11" t="inlineStr">
        <is>
          <t>+48 800 123 123</t>
        </is>
      </c>
      <c r="H65" s="11" t="n"/>
      <c r="I65" s="11" t="n"/>
      <c r="J65" s="11" t="inlineStr">
        <is>
          <t>Podskarbinska 32/U6</t>
        </is>
      </c>
      <c r="K65" s="11" t="n"/>
      <c r="L65" s="11" t="inlineStr">
        <is>
          <t>Kierownik budowy / Zaopatrzenie / Wlasciciel</t>
        </is>
      </c>
      <c r="M65" s="12" t="n">
        <v>129</v>
      </c>
      <c r="N65" s="13" t="n">
        <v>4.2</v>
      </c>
      <c r="O65" s="9" t="inlineStr">
        <is>
          <t>Google Maps</t>
        </is>
      </c>
      <c r="P65" s="9" t="inlineStr">
        <is>
          <t>Nowa</t>
        </is>
      </c>
      <c r="Q65" s="10" t="n"/>
      <c r="R65" s="10" t="n"/>
      <c r="S65" s="11" t="inlineStr">
        <is>
          <t>Ogolnopolski deweloper Develia. Infolinia 800. 4.2 gw 129 opinii. Targetuj duzych podwykonawcow.</t>
        </is>
      </c>
      <c r="T65" s="11" t="n"/>
    </row>
    <row r="66" ht="22" customHeight="1">
      <c r="A66" s="9">
        <f>IF(C66="","",ROW()-1)</f>
        <v/>
      </c>
      <c r="B66" s="10" t="n">
        <v>46135</v>
      </c>
      <c r="C66" s="11" t="inlineStr">
        <is>
          <t>Dom Development S.A.</t>
        </is>
      </c>
      <c r="D66" s="9" t="inlineStr">
        <is>
          <t>Firmy budowlane</t>
        </is>
      </c>
      <c r="E66" s="9" t="inlineStr">
        <is>
          <t>Sredni (zolty)</t>
        </is>
      </c>
      <c r="F66" s="9" t="inlineStr">
        <is>
          <t>Srodmiescie</t>
        </is>
      </c>
      <c r="G66" s="11" t="inlineStr">
        <is>
          <t>+48 22 351 66 33</t>
        </is>
      </c>
      <c r="H66" s="11" t="n"/>
      <c r="I66" s="11" t="n"/>
      <c r="J66" s="11" t="inlineStr">
        <is>
          <t>Pl. Pilsudskiego 3 (Metropolitan 2)</t>
        </is>
      </c>
      <c r="K66" s="11" t="n"/>
      <c r="L66" s="11" t="inlineStr">
        <is>
          <t>Kierownik budowy / Zaopatrzenie / Wlasciciel</t>
        </is>
      </c>
      <c r="M66" s="12" t="n">
        <v>211</v>
      </c>
      <c r="N66" s="13" t="n">
        <v>3.7</v>
      </c>
      <c r="O66" s="9" t="inlineStr">
        <is>
          <t>Google Maps</t>
        </is>
      </c>
      <c r="P66" s="9" t="inlineStr">
        <is>
          <t>Nowa</t>
        </is>
      </c>
      <c r="Q66" s="10" t="n"/>
      <c r="R66" s="10" t="n"/>
      <c r="S66" s="11" t="inlineStr">
        <is>
          <t>JEDEN Z NAJWIEKSZYCH deweloperow w PL. 211 opinii 3.7 gw. Sredni lead (ocena slabsza).</t>
        </is>
      </c>
      <c r="T66" s="11" t="n"/>
    </row>
    <row r="67" ht="22" customHeight="1">
      <c r="A67" s="9">
        <f>IF(C67="","",ROW()-1)</f>
        <v/>
      </c>
      <c r="B67" s="10" t="n">
        <v>46135</v>
      </c>
      <c r="C67" s="11" t="inlineStr">
        <is>
          <t>Marvipol Development S.A.</t>
        </is>
      </c>
      <c r="D67" s="9" t="inlineStr">
        <is>
          <t>Firmy budowlane</t>
        </is>
      </c>
      <c r="E67" s="9" t="inlineStr">
        <is>
          <t>TOP (zielony)</t>
        </is>
      </c>
      <c r="F67" s="9" t="inlineStr">
        <is>
          <t>Wola</t>
        </is>
      </c>
      <c r="G67" s="11" t="inlineStr">
        <is>
          <t>+48 22 536 50 00</t>
        </is>
      </c>
      <c r="H67" s="11" t="n"/>
      <c r="I67" s="11" t="n"/>
      <c r="J67" s="11" t="inlineStr">
        <is>
          <t>Prosta 32</t>
        </is>
      </c>
      <c r="K67" s="11" t="n"/>
      <c r="L67" s="11" t="inlineStr">
        <is>
          <t>Kierownik budowy / Zaopatrzenie / Wlasciciel</t>
        </is>
      </c>
      <c r="M67" s="12" t="n">
        <v>274</v>
      </c>
      <c r="N67" s="13" t="n">
        <v>4.1</v>
      </c>
      <c r="O67" s="9" t="inlineStr">
        <is>
          <t>Google Maps</t>
        </is>
      </c>
      <c r="P67" s="9" t="inlineStr">
        <is>
          <t>Nowa</t>
        </is>
      </c>
      <c r="Q67" s="10" t="n"/>
      <c r="R67" s="10" t="n"/>
      <c r="S67" s="11" t="inlineStr">
        <is>
          <t>Duzy deweloper. 274 op 4.1 gw. Top lead.</t>
        </is>
      </c>
      <c r="T67" s="11" t="n"/>
    </row>
    <row r="68" ht="22" customHeight="1">
      <c r="A68" s="9">
        <f>IF(C68="","",ROW()-1)</f>
        <v/>
      </c>
      <c r="B68" s="10" t="n">
        <v>46135</v>
      </c>
      <c r="C68" s="11" t="inlineStr">
        <is>
          <t>Warszawski Swit - osiedle</t>
        </is>
      </c>
      <c r="D68" s="9" t="inlineStr">
        <is>
          <t>Firmy budowlane</t>
        </is>
      </c>
      <c r="E68" s="9" t="inlineStr">
        <is>
          <t>TOP (zielony)</t>
        </is>
      </c>
      <c r="F68" s="9" t="inlineStr">
        <is>
          <t>Bialoleka</t>
        </is>
      </c>
      <c r="G68" s="11" t="inlineStr">
        <is>
          <t>+48 535 980 529</t>
        </is>
      </c>
      <c r="H68" s="11" t="n"/>
      <c r="I68" s="11" t="n"/>
      <c r="J68" s="11" t="inlineStr">
        <is>
          <t>Warszawski Swit 12</t>
        </is>
      </c>
      <c r="K68" s="11" t="n"/>
      <c r="L68" s="11" t="inlineStr">
        <is>
          <t>Kierownik budowy / Zaopatrzenie / Wlasciciel</t>
        </is>
      </c>
      <c r="M68" s="12" t="n">
        <v>138</v>
      </c>
      <c r="N68" s="13" t="n">
        <v>4.2</v>
      </c>
      <c r="O68" s="9" t="inlineStr">
        <is>
          <t>Google Maps</t>
        </is>
      </c>
      <c r="P68" s="9" t="inlineStr">
        <is>
          <t>Nowa</t>
        </is>
      </c>
      <c r="Q68" s="10" t="n"/>
      <c r="R68" s="10" t="n"/>
      <c r="S68" s="11" t="inlineStr">
        <is>
          <t>Home Invest. Osiedle mieszkaniowe - moze zatrudnia podwykonawcow do serwisu.</t>
        </is>
      </c>
      <c r="T68" s="11" t="n"/>
    </row>
    <row r="69" ht="22" customHeight="1">
      <c r="A69" s="9">
        <f>IF(C69="","",ROW()-1)</f>
        <v/>
      </c>
      <c r="B69" s="10" t="n">
        <v>46135</v>
      </c>
      <c r="C69" s="11" t="inlineStr">
        <is>
          <t>Port Praski - Deweloper Warszawa</t>
        </is>
      </c>
      <c r="D69" s="9" t="inlineStr">
        <is>
          <t>Firmy budowlane</t>
        </is>
      </c>
      <c r="E69" s="9" t="inlineStr">
        <is>
          <t>TOP (zielony)</t>
        </is>
      </c>
      <c r="F69" s="9" t="inlineStr">
        <is>
          <t>Praga-Polnoc</t>
        </is>
      </c>
      <c r="G69" s="11" t="inlineStr">
        <is>
          <t>+48 22 288 50 85</t>
        </is>
      </c>
      <c r="H69" s="11" t="n"/>
      <c r="I69" s="11" t="n"/>
      <c r="J69" s="11" t="inlineStr">
        <is>
          <t>Krowia 6</t>
        </is>
      </c>
      <c r="K69" s="11" t="n"/>
      <c r="L69" s="11" t="inlineStr">
        <is>
          <t>Kierownik budowy / Zaopatrzenie / Wlasciciel</t>
        </is>
      </c>
      <c r="M69" s="12" t="n">
        <v>366</v>
      </c>
      <c r="N69" s="13" t="n">
        <v>4.3</v>
      </c>
      <c r="O69" s="9" t="inlineStr">
        <is>
          <t>Google Maps</t>
        </is>
      </c>
      <c r="P69" s="9" t="inlineStr">
        <is>
          <t>Nowa</t>
        </is>
      </c>
      <c r="Q69" s="10" t="n"/>
      <c r="R69" s="10" t="n"/>
      <c r="S69" s="11" t="inlineStr">
        <is>
          <t>Port Praski - ogromny projekt deweloperski. 366 op 4.3. Top lead.</t>
        </is>
      </c>
      <c r="T69" s="11" t="n"/>
    </row>
    <row r="70" ht="22" customHeight="1">
      <c r="A70" s="9">
        <f>IF(C70="","",ROW()-1)</f>
        <v/>
      </c>
      <c r="B70" s="10" t="n">
        <v>46135</v>
      </c>
      <c r="C70" s="11" t="inlineStr">
        <is>
          <t>VINCI Immobilier Polska</t>
        </is>
      </c>
      <c r="D70" s="9" t="inlineStr">
        <is>
          <t>Firmy budowlane</t>
        </is>
      </c>
      <c r="E70" s="9" t="inlineStr">
        <is>
          <t>TOP (zielony)</t>
        </is>
      </c>
      <c r="F70" s="9" t="inlineStr">
        <is>
          <t>Mokotow</t>
        </is>
      </c>
      <c r="G70" s="11" t="inlineStr">
        <is>
          <t>+48 22 202 60 02</t>
        </is>
      </c>
      <c r="H70" s="11" t="n"/>
      <c r="I70" s="11" t="n"/>
      <c r="J70" s="11" t="inlineStr">
        <is>
          <t>Domaniewska 34a</t>
        </is>
      </c>
      <c r="K70" s="11" t="n"/>
      <c r="L70" s="11" t="inlineStr">
        <is>
          <t>Kierownik budowy / Zaopatrzenie / Wlasciciel</t>
        </is>
      </c>
      <c r="M70" s="12" t="n">
        <v>24</v>
      </c>
      <c r="N70" s="13" t="n">
        <v>4.1</v>
      </c>
      <c r="O70" s="9" t="inlineStr">
        <is>
          <t>Google Maps</t>
        </is>
      </c>
      <c r="P70" s="9" t="inlineStr">
        <is>
          <t>Nowa</t>
        </is>
      </c>
      <c r="Q70" s="10" t="n"/>
      <c r="R70" s="10" t="n"/>
      <c r="S70" s="11" t="inlineStr">
        <is>
          <t>Francuski deweloper. 24 op 4.1 gw. Sredni-TOP lead.</t>
        </is>
      </c>
      <c r="T70" s="11" t="n"/>
    </row>
    <row r="71" ht="22" customHeight="1">
      <c r="A71" s="9">
        <f>IF(C71="","",ROW()-1)</f>
        <v/>
      </c>
      <c r="B71" s="10" t="n">
        <v>46135</v>
      </c>
      <c r="C71" s="11" t="inlineStr">
        <is>
          <t>Alfa-Bet Polska - Firma budowlana Warszawa</t>
        </is>
      </c>
      <c r="D71" s="9" t="inlineStr">
        <is>
          <t>Firmy budowlane</t>
        </is>
      </c>
      <c r="E71" s="9" t="inlineStr">
        <is>
          <t>TOP (zielony)</t>
        </is>
      </c>
      <c r="F71" s="9" t="inlineStr">
        <is>
          <t>Wola</t>
        </is>
      </c>
      <c r="G71" s="11" t="inlineStr">
        <is>
          <t>+48 22 635 24 42</t>
        </is>
      </c>
      <c r="H71" s="11" t="n"/>
      <c r="I71" s="11" t="n"/>
      <c r="J71" s="11" t="inlineStr">
        <is>
          <t>Podobna 12</t>
        </is>
      </c>
      <c r="K71" s="11" t="n"/>
      <c r="L71" s="11" t="inlineStr">
        <is>
          <t>Kierownik budowy / Zaopatrzenie / Wlasciciel</t>
        </is>
      </c>
      <c r="M71" s="12" t="n">
        <v>26</v>
      </c>
      <c r="N71" s="13" t="n">
        <v>4.5</v>
      </c>
      <c r="O71" s="9" t="inlineStr">
        <is>
          <t>Google Maps</t>
        </is>
      </c>
      <c r="P71" s="9" t="inlineStr">
        <is>
          <t>Nowa</t>
        </is>
      </c>
      <c r="Q71" s="10" t="n"/>
      <c r="R71" s="10" t="n"/>
      <c r="S71" s="11" t="inlineStr">
        <is>
          <t>Firma budowlana. 26 op 4.5 gw. Dobra dla podwykonawcow wg opinii.</t>
        </is>
      </c>
      <c r="T71" s="11" t="n"/>
    </row>
    <row r="72" ht="22" customHeight="1">
      <c r="A72" s="9">
        <f>IF(C72="","",ROW()-1)</f>
        <v/>
      </c>
      <c r="B72" s="10" t="n">
        <v>46135</v>
      </c>
      <c r="C72" s="11" t="inlineStr">
        <is>
          <t>Totalbud P.S.A.</t>
        </is>
      </c>
      <c r="D72" s="9" t="inlineStr">
        <is>
          <t>Firmy budowlane</t>
        </is>
      </c>
      <c r="E72" s="9" t="inlineStr">
        <is>
          <t>TOP (zielony)</t>
        </is>
      </c>
      <c r="F72" s="9" t="inlineStr">
        <is>
          <t>Ursynow</t>
        </is>
      </c>
      <c r="G72" s="11" t="inlineStr">
        <is>
          <t>+48 22 612 27 69</t>
        </is>
      </c>
      <c r="H72" s="11" t="n"/>
      <c r="I72" s="11" t="n"/>
      <c r="J72" s="11" t="inlineStr">
        <is>
          <t>Karczunkowska 46</t>
        </is>
      </c>
      <c r="K72" s="11" t="n"/>
      <c r="L72" s="11" t="inlineStr">
        <is>
          <t>Kierownik budowy / Zaopatrzenie / Wlasciciel</t>
        </is>
      </c>
      <c r="M72" s="12" t="n">
        <v>49</v>
      </c>
      <c r="N72" s="13" t="n">
        <v>4.4</v>
      </c>
      <c r="O72" s="9" t="inlineStr">
        <is>
          <t>Google Maps</t>
        </is>
      </c>
      <c r="P72" s="9" t="inlineStr">
        <is>
          <t>Nowa</t>
        </is>
      </c>
      <c r="Q72" s="10" t="n"/>
      <c r="R72" s="10" t="n"/>
      <c r="S72" s="11" t="inlineStr">
        <is>
          <t>Generalny wykonawca. 49 op 4.4 gw.</t>
        </is>
      </c>
      <c r="T72" s="11" t="n"/>
    </row>
    <row r="73" ht="22" customHeight="1">
      <c r="A73" s="9">
        <f>IF(C73="","",ROW()-1)</f>
        <v/>
      </c>
      <c r="B73" s="10" t="n">
        <v>46135</v>
      </c>
      <c r="C73" s="11" t="inlineStr">
        <is>
          <t>AWBUD S.A. - Generalny wykonawca</t>
        </is>
      </c>
      <c r="D73" s="9" t="inlineStr">
        <is>
          <t>Firmy budowlane</t>
        </is>
      </c>
      <c r="E73" s="9" t="inlineStr">
        <is>
          <t>Niski (czerwony)</t>
        </is>
      </c>
      <c r="F73" s="9" t="inlineStr">
        <is>
          <t>Mokotow</t>
        </is>
      </c>
      <c r="G73" s="11" t="inlineStr">
        <is>
          <t>+48 22 360 40 50</t>
        </is>
      </c>
      <c r="H73" s="11" t="n"/>
      <c r="I73" s="11" t="n"/>
      <c r="J73" s="11" t="inlineStr">
        <is>
          <t>Marynarska 15 (New City)</t>
        </is>
      </c>
      <c r="K73" s="11" t="n"/>
      <c r="L73" s="11" t="inlineStr">
        <is>
          <t>Kierownik budowy / Zaopatrzenie / Wlasciciel</t>
        </is>
      </c>
      <c r="M73" s="12" t="n">
        <v>4</v>
      </c>
      <c r="N73" s="13" t="n">
        <v>2.8</v>
      </c>
      <c r="O73" s="9" t="inlineStr">
        <is>
          <t>Google Maps</t>
        </is>
      </c>
      <c r="P73" s="9" t="inlineStr">
        <is>
          <t>Nowa</t>
        </is>
      </c>
      <c r="Q73" s="10" t="n"/>
      <c r="R73" s="10" t="n"/>
      <c r="S73" s="11" t="inlineStr">
        <is>
          <t>Tylko 4 opinii 2.8 gw. Duza znana firma GW, ale ocena niska.</t>
        </is>
      </c>
      <c r="T73" s="11" t="n"/>
    </row>
    <row r="74" ht="22" customHeight="1">
      <c r="A74" s="9">
        <f>IF(C74="","",ROW()-1)</f>
        <v/>
      </c>
      <c r="B74" s="10" t="n">
        <v>46135</v>
      </c>
      <c r="C74" s="11" t="inlineStr">
        <is>
          <t>Primater Sp. z o.o.</t>
        </is>
      </c>
      <c r="D74" s="9" t="inlineStr">
        <is>
          <t>Firmy budowlane</t>
        </is>
      </c>
      <c r="E74" s="9" t="inlineStr">
        <is>
          <t>Sredni (zolty)</t>
        </is>
      </c>
      <c r="F74" s="9" t="inlineStr">
        <is>
          <t>Wola</t>
        </is>
      </c>
      <c r="G74" s="11" t="inlineStr">
        <is>
          <t>+48 797 585 000</t>
        </is>
      </c>
      <c r="H74" s="11" t="n"/>
      <c r="I74" s="11" t="n"/>
      <c r="J74" s="11" t="inlineStr">
        <is>
          <t>Piaskowa 4/U2</t>
        </is>
      </c>
      <c r="K74" s="11" t="n"/>
      <c r="L74" s="11" t="inlineStr">
        <is>
          <t>Kierownik budowy / Zaopatrzenie / Wlasciciel</t>
        </is>
      </c>
      <c r="M74" s="12" t="n">
        <v>15</v>
      </c>
      <c r="N74" s="13" t="n">
        <v>4.5</v>
      </c>
      <c r="O74" s="9" t="inlineStr">
        <is>
          <t>Google Maps</t>
        </is>
      </c>
      <c r="P74" s="9" t="inlineStr">
        <is>
          <t>Nowa</t>
        </is>
      </c>
      <c r="Q74" s="10" t="n"/>
      <c r="R74" s="10" t="n"/>
      <c r="S74" s="11" t="inlineStr">
        <is>
          <t>GW. 15 opinii 4.5 gw. Przerosl oczekiwania klientow.</t>
        </is>
      </c>
      <c r="T74" s="11" t="n"/>
    </row>
    <row r="75" ht="22" customHeight="1">
      <c r="A75" s="9">
        <f>IF(C75="","",ROW()-1)</f>
        <v/>
      </c>
      <c r="B75" s="10" t="n">
        <v>46135</v>
      </c>
      <c r="C75" s="11" t="inlineStr">
        <is>
          <t>Kajima Poland Sp. z o.o.</t>
        </is>
      </c>
      <c r="D75" s="9" t="inlineStr">
        <is>
          <t>Firmy budowlane</t>
        </is>
      </c>
      <c r="E75" s="9" t="inlineStr">
        <is>
          <t>TOP (zielony)</t>
        </is>
      </c>
      <c r="F75" s="9" t="inlineStr">
        <is>
          <t>Srodmiescie</t>
        </is>
      </c>
      <c r="G75" s="11" t="inlineStr">
        <is>
          <t>+48 22 243 96 15</t>
        </is>
      </c>
      <c r="H75" s="11" t="n"/>
      <c r="I75" s="11" t="n"/>
      <c r="J75" s="11" t="inlineStr">
        <is>
          <t>Marszalkowska 107</t>
        </is>
      </c>
      <c r="K75" s="11" t="n"/>
      <c r="L75" s="11" t="inlineStr">
        <is>
          <t>Kierownik budowy / Zaopatrzenie / Wlasciciel</t>
        </is>
      </c>
      <c r="M75" s="12" t="n">
        <v>39</v>
      </c>
      <c r="N75" s="13" t="n">
        <v>4.5</v>
      </c>
      <c r="O75" s="9" t="inlineStr">
        <is>
          <t>Google Maps</t>
        </is>
      </c>
      <c r="P75" s="9" t="inlineStr">
        <is>
          <t>Nowa</t>
        </is>
      </c>
      <c r="Q75" s="10" t="n"/>
      <c r="R75" s="10" t="n"/>
      <c r="S75" s="11" t="inlineStr">
        <is>
          <t>Duzy japonski GW. 39 op 4.5 gw. Top lead na podwykonawstwa.</t>
        </is>
      </c>
      <c r="T75" s="11" t="n"/>
    </row>
    <row r="76" ht="22" customHeight="1">
      <c r="A76" s="9">
        <f>IF(C76="","",ROW()-1)</f>
        <v/>
      </c>
      <c r="B76" s="10" t="n">
        <v>46135</v>
      </c>
      <c r="C76" s="11" t="inlineStr">
        <is>
          <t>AGAT Adrian Poplawski</t>
        </is>
      </c>
      <c r="D76" s="9" t="inlineStr">
        <is>
          <t>Firmy budowlane</t>
        </is>
      </c>
      <c r="E76" s="9" t="inlineStr">
        <is>
          <t>TOP (zielony)</t>
        </is>
      </c>
      <c r="F76" s="9" t="inlineStr">
        <is>
          <t>Srodmiescie</t>
        </is>
      </c>
      <c r="G76" s="11" t="inlineStr">
        <is>
          <t>+48 732 678 462</t>
        </is>
      </c>
      <c r="H76" s="11" t="n"/>
      <c r="I76" s="11" t="n"/>
      <c r="J76" s="11" t="inlineStr">
        <is>
          <t>Nowy Swiat 33</t>
        </is>
      </c>
      <c r="K76" s="11" t="n"/>
      <c r="L76" s="11" t="inlineStr">
        <is>
          <t>Wlasciciel / Elektryk</t>
        </is>
      </c>
      <c r="M76" s="12" t="n">
        <v>57</v>
      </c>
      <c r="N76" s="13" t="n">
        <v>4.8</v>
      </c>
      <c r="O76" s="9" t="inlineStr">
        <is>
          <t>Google Maps</t>
        </is>
      </c>
      <c r="P76" s="9" t="inlineStr">
        <is>
          <t>Nowa</t>
        </is>
      </c>
      <c r="Q76" s="10" t="n"/>
      <c r="R76" s="10" t="n"/>
      <c r="S76" s="11" t="inlineStr">
        <is>
          <t>[FACHOWIEC - nie klient] Elektryk 24/7. 4.8 gw 57 opinii. Szybko znajduje problem. Lead grade A.</t>
        </is>
      </c>
      <c r="T76" s="11" t="n"/>
    </row>
    <row r="77" ht="22" customHeight="1">
      <c r="A77" s="9">
        <f>IF(C77="","",ROW()-1)</f>
        <v/>
      </c>
      <c r="B77" s="10" t="n">
        <v>46135</v>
      </c>
      <c r="C77" s="11" t="inlineStr">
        <is>
          <t>Elektryk24h.com - Pomiary Elektryczne - Usuwanie Awarii</t>
        </is>
      </c>
      <c r="D77" s="9" t="inlineStr">
        <is>
          <t>Firmy budowlane</t>
        </is>
      </c>
      <c r="E77" s="9" t="inlineStr">
        <is>
          <t>TOP (zielony)</t>
        </is>
      </c>
      <c r="F77" s="9" t="inlineStr">
        <is>
          <t>Srodmiescie</t>
        </is>
      </c>
      <c r="G77" s="11" t="inlineStr">
        <is>
          <t>+48 665 322 322</t>
        </is>
      </c>
      <c r="H77" s="11" t="n"/>
      <c r="I77" s="11" t="n"/>
      <c r="J77" s="11" t="inlineStr">
        <is>
          <t>Nowy Swiat 37</t>
        </is>
      </c>
      <c r="K77" s="11" t="n"/>
      <c r="L77" s="11" t="inlineStr">
        <is>
          <t>Wlasciciel / Elektryk</t>
        </is>
      </c>
      <c r="M77" s="12" t="n">
        <v>381</v>
      </c>
      <c r="N77" s="13" t="n">
        <v>4.9</v>
      </c>
      <c r="O77" s="9" t="inlineStr">
        <is>
          <t>Google Maps</t>
        </is>
      </c>
      <c r="P77" s="9" t="inlineStr">
        <is>
          <t>Nowa</t>
        </is>
      </c>
      <c r="Q77" s="10" t="n"/>
      <c r="R77" s="10" t="n"/>
      <c r="S77" s="11" t="inlineStr">
        <is>
          <t>[FACHOWIEC - nie klient] GIGANT: 381 opinii 4.9 gw! Top firma elektryczna Warszawy. Pan Artur. Lead AAA.</t>
        </is>
      </c>
      <c r="T77" s="11" t="n"/>
    </row>
    <row r="78" ht="22" customHeight="1">
      <c r="A78" s="9">
        <f>IF(C78="","",ROW()-1)</f>
        <v/>
      </c>
      <c r="B78" s="10" t="n">
        <v>46135</v>
      </c>
      <c r="C78" s="11" t="inlineStr">
        <is>
          <t>Elektryk Warszawa 24h - Bracia Elektrycy</t>
        </is>
      </c>
      <c r="D78" s="9" t="inlineStr">
        <is>
          <t>Firmy budowlane</t>
        </is>
      </c>
      <c r="E78" s="9" t="inlineStr">
        <is>
          <t>TOP (zielony)</t>
        </is>
      </c>
      <c r="F78" s="9" t="inlineStr">
        <is>
          <t>Srodmiescie</t>
        </is>
      </c>
      <c r="G78" s="11" t="inlineStr">
        <is>
          <t>+48 531 154 651</t>
        </is>
      </c>
      <c r="H78" s="11" t="n"/>
      <c r="I78" s="11" t="n"/>
      <c r="J78" s="11" t="inlineStr">
        <is>
          <t>Al. Jana Pawla II 43A/37B</t>
        </is>
      </c>
      <c r="K78" s="11" t="n"/>
      <c r="L78" s="11" t="inlineStr">
        <is>
          <t>Wlasciciel / Elektryk</t>
        </is>
      </c>
      <c r="M78" s="12" t="n">
        <v>278</v>
      </c>
      <c r="N78" s="13" t="n">
        <v>4.8</v>
      </c>
      <c r="O78" s="9" t="inlineStr">
        <is>
          <t>Google Maps</t>
        </is>
      </c>
      <c r="P78" s="9" t="inlineStr">
        <is>
          <t>Nowa</t>
        </is>
      </c>
      <c r="Q78" s="10" t="n"/>
      <c r="R78" s="10" t="n"/>
      <c r="S78" s="11" t="inlineStr">
        <is>
          <t>[FACHOWIEC - nie klient] Bracia Elektrycy - 278 op 4.8. Duza firma, fotowoltaika+instalacje. Top lead.</t>
        </is>
      </c>
      <c r="T78" s="11" t="n"/>
    </row>
    <row r="79" ht="22" customHeight="1">
      <c r="A79" s="9">
        <f>IF(C79="","",ROW()-1)</f>
        <v/>
      </c>
      <c r="B79" s="10" t="n">
        <v>46135</v>
      </c>
      <c r="C79" s="11" t="inlineStr">
        <is>
          <t>Kodif - Elektryk</t>
        </is>
      </c>
      <c r="D79" s="9" t="inlineStr">
        <is>
          <t>Firmy budowlane</t>
        </is>
      </c>
      <c r="E79" s="9" t="inlineStr">
        <is>
          <t>TOP (zielony)</t>
        </is>
      </c>
      <c r="F79" s="9" t="inlineStr">
        <is>
          <t>Bemowo</t>
        </is>
      </c>
      <c r="G79" s="11" t="inlineStr">
        <is>
          <t>+48 792 311 822</t>
        </is>
      </c>
      <c r="H79" s="11" t="n"/>
      <c r="I79" s="11" t="n"/>
      <c r="J79" s="11" t="inlineStr">
        <is>
          <t>Blatona 4/41</t>
        </is>
      </c>
      <c r="K79" s="11" t="n"/>
      <c r="L79" s="11" t="inlineStr">
        <is>
          <t>Wlasciciel / Elektryk</t>
        </is>
      </c>
      <c r="M79" s="12" t="n">
        <v>46</v>
      </c>
      <c r="N79" s="13" t="n">
        <v>5</v>
      </c>
      <c r="O79" s="9" t="inlineStr">
        <is>
          <t>Google Maps</t>
        </is>
      </c>
      <c r="P79" s="9" t="inlineStr">
        <is>
          <t>Nowa</t>
        </is>
      </c>
      <c r="Q79" s="10" t="n"/>
      <c r="R79" s="10" t="n"/>
      <c r="S79" s="11" t="inlineStr">
        <is>
          <t>[FACHOWIEC - nie klient] 5.0 gw 46 opinii. Teleporada - innowacyjny. Top lead.</t>
        </is>
      </c>
      <c r="T79" s="11" t="n"/>
    </row>
    <row r="80" ht="22" customHeight="1">
      <c r="A80" s="9">
        <f>IF(C80="","",ROW()-1)</f>
        <v/>
      </c>
      <c r="B80" s="10" t="n">
        <v>46135</v>
      </c>
      <c r="C80" s="11" t="inlineStr">
        <is>
          <t>Uslugi elektryczne - Instalacje elektryczne</t>
        </is>
      </c>
      <c r="D80" s="9" t="inlineStr">
        <is>
          <t>Firmy budowlane</t>
        </is>
      </c>
      <c r="E80" s="9" t="inlineStr">
        <is>
          <t>TOP (zielony)</t>
        </is>
      </c>
      <c r="F80" s="9" t="n"/>
      <c r="G80" s="11" t="inlineStr">
        <is>
          <t>+48 503 139 799</t>
        </is>
      </c>
      <c r="H80" s="11" t="n"/>
      <c r="I80" s="11" t="n"/>
      <c r="J80" s="11" t="n"/>
      <c r="K80" s="11" t="n"/>
      <c r="L80" s="11" t="inlineStr">
        <is>
          <t>Wlasciciel / Elektryk</t>
        </is>
      </c>
      <c r="M80" s="12" t="n">
        <v>22</v>
      </c>
      <c r="N80" s="13" t="n">
        <v>4.5</v>
      </c>
      <c r="O80" s="9" t="inlineStr">
        <is>
          <t>Google Maps</t>
        </is>
      </c>
      <c r="P80" s="9" t="inlineStr">
        <is>
          <t>Nowa</t>
        </is>
      </c>
      <c r="Q80" s="10" t="n"/>
      <c r="R80" s="10" t="n"/>
      <c r="S80" s="11" t="inlineStr">
        <is>
          <t>[FACHOWIEC - nie klient] 4.5 gw 22 opinii. Brak adresu w Maps - zweryfikuj geo przy rozmowie.</t>
        </is>
      </c>
      <c r="T80" s="11" t="n"/>
    </row>
    <row r="81" ht="22" customHeight="1">
      <c r="A81" s="9">
        <f>IF(C81="","",ROW()-1)</f>
        <v/>
      </c>
      <c r="B81" s="10" t="n">
        <v>46135</v>
      </c>
      <c r="C81" s="11" t="inlineStr">
        <is>
          <t>Opal Wojciech Poplawski</t>
        </is>
      </c>
      <c r="D81" s="9" t="inlineStr">
        <is>
          <t>Firmy budowlane</t>
        </is>
      </c>
      <c r="E81" s="9" t="inlineStr">
        <is>
          <t>TOP (zielony)</t>
        </is>
      </c>
      <c r="F81" s="9" t="n"/>
      <c r="G81" s="11" t="inlineStr">
        <is>
          <t>+48 885 765 192</t>
        </is>
      </c>
      <c r="H81" s="11" t="n"/>
      <c r="I81" s="11" t="n"/>
      <c r="J81" s="11" t="n"/>
      <c r="K81" s="11" t="n"/>
      <c r="L81" s="11" t="inlineStr">
        <is>
          <t>Wlasciciel / Elektryk</t>
        </is>
      </c>
      <c r="M81" s="12" t="n">
        <v>155</v>
      </c>
      <c r="N81" s="13" t="n">
        <v>4.7</v>
      </c>
      <c r="O81" s="9" t="inlineStr">
        <is>
          <t>Google Maps</t>
        </is>
      </c>
      <c r="P81" s="9" t="inlineStr">
        <is>
          <t>Nowa</t>
        </is>
      </c>
      <c r="Q81" s="10" t="n"/>
      <c r="R81" s="10" t="n"/>
      <c r="S81" s="11" t="inlineStr">
        <is>
          <t>[FACHOWIEC - nie klient] 155 opinii 4.7 gw. Kompetentny, kontaktowy. Top lead mimo braku adresu.</t>
        </is>
      </c>
      <c r="T81" s="11" t="n"/>
    </row>
    <row r="82" ht="22" customHeight="1">
      <c r="A82" s="9">
        <f>IF(C82="","",ROW()-1)</f>
        <v/>
      </c>
      <c r="B82" s="10" t="n">
        <v>46135</v>
      </c>
      <c r="C82" s="11" t="inlineStr">
        <is>
          <t>pomiary.mobi Elektryk - Pogotowie Elektryczne</t>
        </is>
      </c>
      <c r="D82" s="9" t="inlineStr">
        <is>
          <t>Firmy budowlane</t>
        </is>
      </c>
      <c r="E82" s="9" t="inlineStr">
        <is>
          <t>TOP (zielony)</t>
        </is>
      </c>
      <c r="F82" s="9" t="inlineStr">
        <is>
          <t>Wola</t>
        </is>
      </c>
      <c r="G82" s="11" t="inlineStr">
        <is>
          <t>+48 798 148 838</t>
        </is>
      </c>
      <c r="H82" s="11" t="n"/>
      <c r="I82" s="11" t="n"/>
      <c r="J82" s="11" t="inlineStr">
        <is>
          <t>1 Sierpnia 40A</t>
        </is>
      </c>
      <c r="K82" s="11" t="n"/>
      <c r="L82" s="11" t="inlineStr">
        <is>
          <t>Wlasciciel / Elektryk</t>
        </is>
      </c>
      <c r="M82" s="12" t="n">
        <v>144</v>
      </c>
      <c r="N82" s="13" t="n">
        <v>5</v>
      </c>
      <c r="O82" s="9" t="inlineStr">
        <is>
          <t>Google Maps</t>
        </is>
      </c>
      <c r="P82" s="9" t="inlineStr">
        <is>
          <t>Nowa</t>
        </is>
      </c>
      <c r="Q82" s="10" t="n"/>
      <c r="R82" s="10" t="n"/>
      <c r="S82" s="11" t="inlineStr">
        <is>
          <t>[FACHOWIEC - nie klient] 5.0 gw 144 opinii. Profesjonalizm top. Lead grade A.</t>
        </is>
      </c>
      <c r="T82" s="11" t="n"/>
    </row>
    <row r="83" ht="22" customHeight="1">
      <c r="A83" s="9">
        <f>IF(C83="","",ROW()-1)</f>
        <v/>
      </c>
      <c r="B83" s="10" t="n">
        <v>46135</v>
      </c>
      <c r="C83" s="11" t="inlineStr">
        <is>
          <t>Elektryk Warszawa Instalacje elektryczne</t>
        </is>
      </c>
      <c r="D83" s="9" t="inlineStr">
        <is>
          <t>Firmy budowlane</t>
        </is>
      </c>
      <c r="E83" s="9" t="inlineStr">
        <is>
          <t>TOP (zielony)</t>
        </is>
      </c>
      <c r="F83" s="9" t="inlineStr">
        <is>
          <t>Ursynow</t>
        </is>
      </c>
      <c r="G83" s="11" t="inlineStr">
        <is>
          <t>+48 600 608 874</t>
        </is>
      </c>
      <c r="H83" s="11" t="n"/>
      <c r="I83" s="11" t="n"/>
      <c r="J83" s="11" t="inlineStr">
        <is>
          <t>Mrowcza 33A</t>
        </is>
      </c>
      <c r="K83" s="11" t="n"/>
      <c r="L83" s="11" t="inlineStr">
        <is>
          <t>Wlasciciel / Elektryk</t>
        </is>
      </c>
      <c r="M83" s="12" t="n">
        <v>84</v>
      </c>
      <c r="N83" s="13" t="n">
        <v>5</v>
      </c>
      <c r="O83" s="9" t="inlineStr">
        <is>
          <t>Google Maps</t>
        </is>
      </c>
      <c r="P83" s="9" t="inlineStr">
        <is>
          <t>Nowa</t>
        </is>
      </c>
      <c r="Q83" s="10" t="n"/>
      <c r="R83" s="10" t="n"/>
      <c r="S83" s="11" t="inlineStr">
        <is>
          <t>[FACHOWIEC - nie klient] 5.0 gw 84 opinii. Udokumentowane realizacje. Top lead.</t>
        </is>
      </c>
      <c r="T83" s="11" t="n"/>
    </row>
    <row r="84" ht="22" customHeight="1">
      <c r="A84" s="9">
        <f>IF(C84="","",ROW()-1)</f>
        <v/>
      </c>
      <c r="B84" s="10" t="n">
        <v>46135</v>
      </c>
      <c r="C84" s="11" t="inlineStr">
        <is>
          <t>Elektryk Mokotow</t>
        </is>
      </c>
      <c r="D84" s="9" t="inlineStr">
        <is>
          <t>Firmy budowlane</t>
        </is>
      </c>
      <c r="E84" s="9" t="inlineStr">
        <is>
          <t>Sredni (zolty)</t>
        </is>
      </c>
      <c r="F84" s="9" t="inlineStr">
        <is>
          <t>Mokotow</t>
        </is>
      </c>
      <c r="G84" s="11" t="inlineStr">
        <is>
          <t>+48 666 257 492</t>
        </is>
      </c>
      <c r="H84" s="11" t="n"/>
      <c r="I84" s="11" t="n"/>
      <c r="J84" s="11" t="inlineStr">
        <is>
          <t>Grupy AK Polnoc 13</t>
        </is>
      </c>
      <c r="K84" s="11" t="n"/>
      <c r="L84" s="11" t="inlineStr">
        <is>
          <t>Wlasciciel / Elektryk</t>
        </is>
      </c>
      <c r="M84" s="12" t="n">
        <v>8</v>
      </c>
      <c r="N84" s="13" t="n">
        <v>5</v>
      </c>
      <c r="O84" s="9" t="inlineStr">
        <is>
          <t>Google Maps</t>
        </is>
      </c>
      <c r="P84" s="9" t="inlineStr">
        <is>
          <t>Nowa</t>
        </is>
      </c>
      <c r="Q84" s="10" t="n"/>
      <c r="R84" s="10" t="n"/>
      <c r="S84" s="11" t="inlineStr">
        <is>
          <t>[FACHOWIEC - nie klient] 5.0 gw 8 opinii. Profesjonalista. Sredni lead.</t>
        </is>
      </c>
      <c r="T84" s="11" t="n"/>
    </row>
    <row r="85" ht="22" customHeight="1">
      <c r="A85" s="9">
        <f>IF(C85="","",ROW()-1)</f>
        <v/>
      </c>
      <c r="B85" s="10" t="n">
        <v>46135</v>
      </c>
      <c r="C85" s="11" t="inlineStr">
        <is>
          <t>Elektryk (Batorego)</t>
        </is>
      </c>
      <c r="D85" s="9" t="inlineStr">
        <is>
          <t>Firmy budowlane</t>
        </is>
      </c>
      <c r="E85" s="9" t="inlineStr">
        <is>
          <t>TOP (zielony)</t>
        </is>
      </c>
      <c r="F85" s="9" t="inlineStr">
        <is>
          <t>Mokotow</t>
        </is>
      </c>
      <c r="G85" s="11" t="inlineStr">
        <is>
          <t>+48 573 307 877</t>
        </is>
      </c>
      <c r="H85" s="11" t="n"/>
      <c r="I85" s="11" t="n"/>
      <c r="J85" s="11" t="inlineStr">
        <is>
          <t>Stefana Batorego 18/108</t>
        </is>
      </c>
      <c r="K85" s="11" t="n"/>
      <c r="L85" s="11" t="inlineStr">
        <is>
          <t>Wlasciciel / Elektryk</t>
        </is>
      </c>
      <c r="M85" s="12" t="n">
        <v>25</v>
      </c>
      <c r="N85" s="13" t="n">
        <v>4.8</v>
      </c>
      <c r="O85" s="9" t="inlineStr">
        <is>
          <t>Google Maps</t>
        </is>
      </c>
      <c r="P85" s="9" t="inlineStr">
        <is>
          <t>Nowa</t>
        </is>
      </c>
      <c r="Q85" s="10" t="n"/>
      <c r="R85" s="10" t="n"/>
      <c r="S85" s="11" t="inlineStr">
        <is>
          <t>[FACHOWIEC - nie klient] 4.8 gw 25 opinii. Czynne 24h. Solidny elektryk.</t>
        </is>
      </c>
      <c r="T85" s="11" t="n"/>
    </row>
    <row r="86" ht="22" customHeight="1">
      <c r="A86" s="9">
        <f>IF(C86="","",ROW()-1)</f>
        <v/>
      </c>
      <c r="B86" s="10" t="n">
        <v>46135</v>
      </c>
      <c r="C86" s="11" t="inlineStr">
        <is>
          <t>Elektryk 24h Warszawa (Postepu)</t>
        </is>
      </c>
      <c r="D86" s="9" t="inlineStr">
        <is>
          <t>Firmy budowlane</t>
        </is>
      </c>
      <c r="E86" s="9" t="inlineStr">
        <is>
          <t>TOP (zielony)</t>
        </is>
      </c>
      <c r="F86" s="9" t="inlineStr">
        <is>
          <t>Mokotow</t>
        </is>
      </c>
      <c r="G86" s="11" t="inlineStr">
        <is>
          <t>+48 507 507 206</t>
        </is>
      </c>
      <c r="H86" s="11" t="n"/>
      <c r="I86" s="11" t="n"/>
      <c r="J86" s="11" t="inlineStr">
        <is>
          <t>Postepu 18/B</t>
        </is>
      </c>
      <c r="K86" s="11" t="n"/>
      <c r="L86" s="11" t="inlineStr">
        <is>
          <t>Wlasciciel / Elektryk</t>
        </is>
      </c>
      <c r="M86" s="12" t="n">
        <v>43</v>
      </c>
      <c r="N86" s="13" t="n">
        <v>5</v>
      </c>
      <c r="O86" s="9" t="inlineStr">
        <is>
          <t>Google Maps</t>
        </is>
      </c>
      <c r="P86" s="9" t="inlineStr">
        <is>
          <t>Nowa</t>
        </is>
      </c>
      <c r="Q86" s="10" t="n"/>
      <c r="R86" s="10" t="n"/>
      <c r="S86" s="11" t="inlineStr">
        <is>
          <t>[FACHOWIEC - nie klient] 5.0 gw 43 opinii. Pan Adam - przemily fachowiec. Lead grade A.</t>
        </is>
      </c>
      <c r="T86" s="11" t="n"/>
    </row>
    <row r="87" ht="22" customHeight="1">
      <c r="A87" s="9">
        <f>IF(C87="","",ROW()-1)</f>
        <v/>
      </c>
      <c r="B87" s="10" t="n">
        <v>46135</v>
      </c>
      <c r="C87" s="11" t="inlineStr">
        <is>
          <t>#bezpiecznainstalacjaelektryczna / ELEKTRODAN</t>
        </is>
      </c>
      <c r="D87" s="9" t="inlineStr">
        <is>
          <t>Firmy budowlane</t>
        </is>
      </c>
      <c r="E87" s="9" t="inlineStr">
        <is>
          <t>Sredni (zolty)</t>
        </is>
      </c>
      <c r="F87" s="9" t="inlineStr">
        <is>
          <t>Mokotow</t>
        </is>
      </c>
      <c r="G87" s="11" t="inlineStr">
        <is>
          <t>+48 502 277 855</t>
        </is>
      </c>
      <c r="H87" s="11" t="n"/>
      <c r="I87" s="11" t="n"/>
      <c r="J87" s="11" t="inlineStr">
        <is>
          <t>Sniardwy 4/24 / Bialy Kamien 1</t>
        </is>
      </c>
      <c r="K87" s="11" t="n"/>
      <c r="L87" s="11" t="inlineStr">
        <is>
          <t>Wlasciciel / Elektryk</t>
        </is>
      </c>
      <c r="M87" s="12" t="n">
        <v>12</v>
      </c>
      <c r="N87" s="13" t="n">
        <v>5</v>
      </c>
      <c r="O87" s="9" t="inlineStr">
        <is>
          <t>Google Maps</t>
        </is>
      </c>
      <c r="P87" s="9" t="inlineStr">
        <is>
          <t>Nowa</t>
        </is>
      </c>
      <c r="Q87" s="10" t="n"/>
      <c r="R87" s="10" t="n"/>
      <c r="S87" s="11" t="inlineStr">
        <is>
          <t>[FACHOWIEC - nie klient] Pan Daniel. 2 lokalizacje w Maps ten sam numer. 5.0 gw 12 opinii + 3.8/6 drugie. Top.</t>
        </is>
      </c>
      <c r="T87" s="11" t="n"/>
    </row>
    <row r="88" ht="22" customHeight="1">
      <c r="A88" s="9">
        <f>IF(C88="","",ROW()-1)</f>
        <v/>
      </c>
      <c r="B88" s="10" t="n">
        <v>46135</v>
      </c>
      <c r="C88" s="11" t="inlineStr">
        <is>
          <t>Marek (elektryk Gandhiego)</t>
        </is>
      </c>
      <c r="D88" s="9" t="inlineStr">
        <is>
          <t>Firmy budowlane</t>
        </is>
      </c>
      <c r="E88" s="9" t="inlineStr">
        <is>
          <t>Sredni (zolty)</t>
        </is>
      </c>
      <c r="F88" s="9" t="inlineStr">
        <is>
          <t>Mokotow</t>
        </is>
      </c>
      <c r="G88" s="11" t="inlineStr">
        <is>
          <t>+48 515 455 455</t>
        </is>
      </c>
      <c r="H88" s="11" t="n"/>
      <c r="I88" s="11" t="n"/>
      <c r="J88" s="11" t="inlineStr">
        <is>
          <t>Mahatmy Gandhiego 5</t>
        </is>
      </c>
      <c r="K88" s="11" t="n"/>
      <c r="L88" s="11" t="inlineStr">
        <is>
          <t>Wlasciciel / Elektryk</t>
        </is>
      </c>
      <c r="M88" s="12" t="n">
        <v>7</v>
      </c>
      <c r="N88" s="13" t="n">
        <v>5</v>
      </c>
      <c r="O88" s="9" t="inlineStr">
        <is>
          <t>Google Maps</t>
        </is>
      </c>
      <c r="P88" s="9" t="inlineStr">
        <is>
          <t>Nowa</t>
        </is>
      </c>
      <c r="Q88" s="10" t="n"/>
      <c r="R88" s="10" t="n"/>
      <c r="S88" s="11" t="inlineStr">
        <is>
          <t>[FACHOWIEC - nie klient] 5.0 gw 7 opinii. Estetyka i terminowosc.</t>
        </is>
      </c>
      <c r="T88" s="11" t="n"/>
    </row>
    <row r="89" ht="22" customHeight="1">
      <c r="A89" s="9">
        <f>IF(C89="","",ROW()-1)</f>
        <v/>
      </c>
      <c r="B89" s="10" t="n">
        <v>46135</v>
      </c>
      <c r="C89" s="11" t="inlineStr">
        <is>
          <t>Dobry Elektryk Warszawa</t>
        </is>
      </c>
      <c r="D89" s="9" t="inlineStr">
        <is>
          <t>Firmy budowlane</t>
        </is>
      </c>
      <c r="E89" s="9" t="inlineStr">
        <is>
          <t>Niski (czerwony)</t>
        </is>
      </c>
      <c r="F89" s="9" t="inlineStr">
        <is>
          <t>Mokotow</t>
        </is>
      </c>
      <c r="G89" s="11" t="inlineStr">
        <is>
          <t>+48 601 318 219</t>
        </is>
      </c>
      <c r="H89" s="11" t="n"/>
      <c r="I89" s="11" t="n"/>
      <c r="J89" s="11" t="inlineStr">
        <is>
          <t>sw. Bonifacego 10</t>
        </is>
      </c>
      <c r="K89" s="11" t="n"/>
      <c r="L89" s="11" t="inlineStr">
        <is>
          <t>Wlasciciel / Elektryk</t>
        </is>
      </c>
      <c r="M89" s="12" t="n">
        <v>7</v>
      </c>
      <c r="N89" s="13" t="n">
        <v>3.9</v>
      </c>
      <c r="O89" s="9" t="inlineStr">
        <is>
          <t>Google Maps</t>
        </is>
      </c>
      <c r="P89" s="9" t="inlineStr">
        <is>
          <t>Nowa</t>
        </is>
      </c>
      <c r="Q89" s="10" t="n"/>
      <c r="R89" s="10" t="n"/>
      <c r="S89" s="11" t="inlineStr">
        <is>
          <t>[FACHOWIEC - nie klient] 3.9 gw 7 opinii. Sredni lead - rozsadne ceny.</t>
        </is>
      </c>
      <c r="T89" s="11" t="n"/>
    </row>
    <row r="90" ht="22" customHeight="1">
      <c r="A90" s="9">
        <f>IF(C90="","",ROW()-1)</f>
        <v/>
      </c>
      <c r="B90" s="10" t="n">
        <v>46135</v>
      </c>
      <c r="C90" s="11" t="inlineStr">
        <is>
          <t>Elektryk Ursynow/Mokotow/Wilanow - Naprawy</t>
        </is>
      </c>
      <c r="D90" s="9" t="inlineStr">
        <is>
          <t>Firmy budowlane</t>
        </is>
      </c>
      <c r="E90" s="9" t="inlineStr">
        <is>
          <t>Sredni (zolty)</t>
        </is>
      </c>
      <c r="F90" s="9" t="inlineStr">
        <is>
          <t>Mokotow</t>
        </is>
      </c>
      <c r="G90" s="11" t="inlineStr">
        <is>
          <t>+48 573 493 809</t>
        </is>
      </c>
      <c r="H90" s="11" t="n"/>
      <c r="I90" s="11" t="n"/>
      <c r="J90" s="11" t="inlineStr">
        <is>
          <t>Magellana</t>
        </is>
      </c>
      <c r="K90" s="11" t="n"/>
      <c r="L90" s="11" t="inlineStr">
        <is>
          <t>Wlasciciel / Elektryk</t>
        </is>
      </c>
      <c r="M90" s="12" t="n">
        <v>8</v>
      </c>
      <c r="N90" s="13" t="n">
        <v>5</v>
      </c>
      <c r="O90" s="9" t="inlineStr">
        <is>
          <t>Google Maps</t>
        </is>
      </c>
      <c r="P90" s="9" t="inlineStr">
        <is>
          <t>Nowa</t>
        </is>
      </c>
      <c r="Q90" s="10" t="n"/>
      <c r="R90" s="10" t="n"/>
      <c r="S90" s="11" t="inlineStr">
        <is>
          <t>[FACHOWIEC - nie klient] Oblsuguje 3 dzielnice. 5.0 gw 8 opinii. Doswiadczony.</t>
        </is>
      </c>
      <c r="T90" s="11" t="n"/>
    </row>
    <row r="91" ht="22" customHeight="1">
      <c r="A91" s="9">
        <f>IF(C91="","",ROW()-1)</f>
        <v/>
      </c>
      <c r="B91" s="10" t="n">
        <v>46135</v>
      </c>
      <c r="C91" s="11" t="inlineStr">
        <is>
          <t>Elektryk Wola Warszawa</t>
        </is>
      </c>
      <c r="D91" s="9" t="inlineStr">
        <is>
          <t>Firmy budowlane</t>
        </is>
      </c>
      <c r="E91" s="9" t="inlineStr">
        <is>
          <t>Sredni (zolty)</t>
        </is>
      </c>
      <c r="F91" s="9" t="inlineStr">
        <is>
          <t>Wola</t>
        </is>
      </c>
      <c r="G91" s="11" t="inlineStr">
        <is>
          <t>+48 881 758 758</t>
        </is>
      </c>
      <c r="H91" s="11" t="n"/>
      <c r="I91" s="11" t="n"/>
      <c r="J91" s="11" t="inlineStr">
        <is>
          <t>Eustachego Tyszkiewicza 7/9/m47</t>
        </is>
      </c>
      <c r="K91" s="11" t="n"/>
      <c r="L91" s="11" t="inlineStr">
        <is>
          <t>Wlasciciel / Elektryk</t>
        </is>
      </c>
      <c r="M91" s="12" t="n">
        <v>17</v>
      </c>
      <c r="N91" s="13" t="n">
        <v>5</v>
      </c>
      <c r="O91" s="9" t="inlineStr">
        <is>
          <t>Google Maps</t>
        </is>
      </c>
      <c r="P91" s="9" t="inlineStr">
        <is>
          <t>Nowa</t>
        </is>
      </c>
      <c r="Q91" s="10" t="n"/>
      <c r="R91" s="10" t="n"/>
      <c r="S91" s="11" t="inlineStr">
        <is>
          <t>[FACHOWIEC - nie klient] 5.0 gw 17 opinii. Swietny fachowiec z doswiadczeniem. Lead grade A.</t>
        </is>
      </c>
      <c r="T91" s="11" t="n"/>
    </row>
    <row r="92" ht="22" customHeight="1">
      <c r="A92" s="9">
        <f>IF(C92="","",ROW()-1)</f>
        <v/>
      </c>
      <c r="B92" s="10" t="n">
        <v>46135</v>
      </c>
      <c r="C92" s="11" t="inlineStr">
        <is>
          <t>Uslugi elektryczne (Gorczewska)</t>
        </is>
      </c>
      <c r="D92" s="9" t="inlineStr">
        <is>
          <t>Firmy budowlane</t>
        </is>
      </c>
      <c r="E92" s="9" t="inlineStr">
        <is>
          <t>TOP (zielony)</t>
        </is>
      </c>
      <c r="F92" s="9" t="inlineStr">
        <is>
          <t>Wola</t>
        </is>
      </c>
      <c r="G92" s="11" t="inlineStr">
        <is>
          <t>+48 502 038 015</t>
        </is>
      </c>
      <c r="H92" s="11" t="n"/>
      <c r="I92" s="11" t="n"/>
      <c r="J92" s="11" t="inlineStr">
        <is>
          <t>Gorczewska</t>
        </is>
      </c>
      <c r="K92" s="11" t="n"/>
      <c r="L92" s="11" t="inlineStr">
        <is>
          <t>Wlasciciel / Elektryk</t>
        </is>
      </c>
      <c r="M92" s="12" t="n">
        <v>42</v>
      </c>
      <c r="N92" s="13" t="n">
        <v>4.9</v>
      </c>
      <c r="O92" s="9" t="inlineStr">
        <is>
          <t>Google Maps</t>
        </is>
      </c>
      <c r="P92" s="9" t="inlineStr">
        <is>
          <t>Nowa</t>
        </is>
      </c>
      <c r="Q92" s="10" t="n"/>
      <c r="R92" s="10" t="n"/>
      <c r="S92" s="11" t="inlineStr">
        <is>
          <t>[FACHOWIEC - nie klient] 4.9 gw 42 opinii. Max gwiazdek wg opinii. Top lead.</t>
        </is>
      </c>
      <c r="T92" s="11" t="n"/>
    </row>
    <row r="93" ht="22" customHeight="1">
      <c r="A93" s="9">
        <f>IF(C93="","",ROW()-1)</f>
        <v/>
      </c>
      <c r="B93" s="10" t="n">
        <v>46135</v>
      </c>
      <c r="C93" s="11" t="inlineStr">
        <is>
          <t>Elektryk- (Prymasa Tysiaclecia)</t>
        </is>
      </c>
      <c r="D93" s="9" t="inlineStr">
        <is>
          <t>Firmy budowlane</t>
        </is>
      </c>
      <c r="E93" s="9" t="inlineStr">
        <is>
          <t>Niski (czerwony)</t>
        </is>
      </c>
      <c r="F93" s="9" t="inlineStr">
        <is>
          <t>Wola</t>
        </is>
      </c>
      <c r="G93" s="11" t="inlineStr">
        <is>
          <t>+48 513 324 097</t>
        </is>
      </c>
      <c r="H93" s="11" t="n"/>
      <c r="I93" s="11" t="n"/>
      <c r="J93" s="11" t="inlineStr">
        <is>
          <t>Al. Prymasa Tysiaclecia 76C</t>
        </is>
      </c>
      <c r="K93" s="11" t="n"/>
      <c r="L93" s="11" t="inlineStr">
        <is>
          <t>Wlasciciel / Elektryk</t>
        </is>
      </c>
      <c r="M93" s="12" t="n">
        <v>1</v>
      </c>
      <c r="N93" s="13" t="n">
        <v>5</v>
      </c>
      <c r="O93" s="9" t="inlineStr">
        <is>
          <t>Google Maps</t>
        </is>
      </c>
      <c r="P93" s="9" t="inlineStr">
        <is>
          <t>Nowa</t>
        </is>
      </c>
      <c r="Q93" s="10" t="n"/>
      <c r="R93" s="10" t="n"/>
      <c r="S93" s="11" t="inlineStr">
        <is>
          <t>[FACHOWIEC - nie klient] Tylko 1 opinia. Niski priorytet na start.</t>
        </is>
      </c>
      <c r="T93" s="11" t="n"/>
    </row>
    <row r="94" ht="22" customHeight="1">
      <c r="A94" s="9">
        <f>IF(C94="","",ROW()-1)</f>
        <v/>
      </c>
      <c r="B94" s="10" t="n">
        <v>46135</v>
      </c>
      <c r="C94" s="11" t="inlineStr">
        <is>
          <t>Elektryk.Do uslug. 24H (Fort Wola)</t>
        </is>
      </c>
      <c r="D94" s="9" t="inlineStr">
        <is>
          <t>Firmy budowlane</t>
        </is>
      </c>
      <c r="E94" s="9" t="inlineStr">
        <is>
          <t>Niski (czerwony)</t>
        </is>
      </c>
      <c r="F94" s="9" t="inlineStr">
        <is>
          <t>Wola</t>
        </is>
      </c>
      <c r="G94" s="11" t="inlineStr">
        <is>
          <t>+48 503 476 675</t>
        </is>
      </c>
      <c r="H94" s="11" t="n"/>
      <c r="I94" s="11" t="n"/>
      <c r="J94" s="11" t="inlineStr">
        <is>
          <t>Fort Wola 22</t>
        </is>
      </c>
      <c r="K94" s="11" t="n"/>
      <c r="L94" s="11" t="inlineStr">
        <is>
          <t>Wlasciciel / Elektryk</t>
        </is>
      </c>
      <c r="M94" s="12" t="n">
        <v>1</v>
      </c>
      <c r="N94" s="13" t="n">
        <v>5</v>
      </c>
      <c r="O94" s="9" t="inlineStr">
        <is>
          <t>Google Maps</t>
        </is>
      </c>
      <c r="P94" s="9" t="inlineStr">
        <is>
          <t>Nowa</t>
        </is>
      </c>
      <c r="Q94" s="10" t="n"/>
      <c r="R94" s="10" t="n"/>
      <c r="S94" s="11" t="inlineStr">
        <is>
          <t>[FACHOWIEC - nie klient] 1 opinia. Niski priorytet.</t>
        </is>
      </c>
      <c r="T94" s="11" t="n"/>
    </row>
    <row r="95" ht="22" customHeight="1">
      <c r="A95" s="9">
        <f>IF(C95="","",ROW()-1)</f>
        <v/>
      </c>
      <c r="B95" s="10" t="n">
        <v>46135</v>
      </c>
      <c r="C95" s="11" t="inlineStr">
        <is>
          <t>Elektro-Dan Daniel Poplawski</t>
        </is>
      </c>
      <c r="D95" s="9" t="inlineStr">
        <is>
          <t>Firmy budowlane</t>
        </is>
      </c>
      <c r="E95" s="9" t="inlineStr">
        <is>
          <t>TOP (zielony)</t>
        </is>
      </c>
      <c r="F95" s="9" t="inlineStr">
        <is>
          <t>Wola</t>
        </is>
      </c>
      <c r="G95" s="11" t="inlineStr">
        <is>
          <t>+48 500 699 382</t>
        </is>
      </c>
      <c r="H95" s="11" t="n"/>
      <c r="I95" s="11" t="n"/>
      <c r="J95" s="11" t="inlineStr">
        <is>
          <t>Al. Jana Pawla II 43a</t>
        </is>
      </c>
      <c r="K95" s="11" t="n"/>
      <c r="L95" s="11" t="inlineStr">
        <is>
          <t>Wlasciciel / Elektryk</t>
        </is>
      </c>
      <c r="M95" s="12" t="n">
        <v>213</v>
      </c>
      <c r="N95" s="13" t="n">
        <v>4.9</v>
      </c>
      <c r="O95" s="9" t="inlineStr">
        <is>
          <t>Google Maps</t>
        </is>
      </c>
      <c r="P95" s="9" t="inlineStr">
        <is>
          <t>Nowa</t>
        </is>
      </c>
      <c r="Q95" s="10" t="n"/>
      <c r="R95" s="10" t="n"/>
      <c r="S95" s="11" t="inlineStr">
        <is>
          <t>[FACHOWIEC - nie klient] WIELKI lead: 213 op 4.9 gw. Daniel Poplawski. Solidna firma z historia.</t>
        </is>
      </c>
      <c r="T95" s="11" t="n"/>
    </row>
    <row r="96" ht="22" customHeight="1">
      <c r="A96" s="9">
        <f>IF(C96="","",ROW()-1)</f>
        <v/>
      </c>
      <c r="B96" s="10" t="n">
        <v>46135</v>
      </c>
      <c r="C96" s="11" t="inlineStr">
        <is>
          <t>el-norm Uslugi elektryczne</t>
        </is>
      </c>
      <c r="D96" s="9" t="inlineStr">
        <is>
          <t>Firmy budowlane</t>
        </is>
      </c>
      <c r="E96" s="9" t="inlineStr">
        <is>
          <t>Sredni (zolty)</t>
        </is>
      </c>
      <c r="F96" s="9" t="inlineStr">
        <is>
          <t>Wola</t>
        </is>
      </c>
      <c r="G96" s="11" t="inlineStr">
        <is>
          <t>+48 530 580 450</t>
        </is>
      </c>
      <c r="H96" s="11" t="n"/>
      <c r="I96" s="11" t="n"/>
      <c r="J96" s="11" t="inlineStr">
        <is>
          <t>Jana Kazimierza 21</t>
        </is>
      </c>
      <c r="K96" s="11" t="n"/>
      <c r="L96" s="11" t="inlineStr">
        <is>
          <t>Wlasciciel / Elektryk</t>
        </is>
      </c>
      <c r="M96" s="12" t="n">
        <v>13</v>
      </c>
      <c r="N96" s="13" t="n">
        <v>5</v>
      </c>
      <c r="O96" s="9" t="inlineStr">
        <is>
          <t>Google Maps</t>
        </is>
      </c>
      <c r="P96" s="9" t="inlineStr">
        <is>
          <t>Nowa</t>
        </is>
      </c>
      <c r="Q96" s="10" t="n"/>
      <c r="R96" s="10" t="n"/>
      <c r="S96" s="11" t="inlineStr">
        <is>
          <t>[FACHOWIEC - nie klient] 5.0 gw 13 opinii. Pomaga tam gdzie inni nie potrafia.</t>
        </is>
      </c>
      <c r="T96" s="11" t="n"/>
    </row>
    <row r="97" ht="22" customHeight="1">
      <c r="A97" s="9">
        <f>IF(C97="","",ROW()-1)</f>
        <v/>
      </c>
      <c r="B97" s="10" t="n">
        <v>46135</v>
      </c>
      <c r="C97" s="11" t="inlineStr">
        <is>
          <t>ELEKTRO-KOM</t>
        </is>
      </c>
      <c r="D97" s="9" t="inlineStr">
        <is>
          <t>Firmy budowlane</t>
        </is>
      </c>
      <c r="E97" s="9" t="inlineStr">
        <is>
          <t>Sredni (zolty)</t>
        </is>
      </c>
      <c r="F97" s="9" t="inlineStr">
        <is>
          <t>Wola</t>
        </is>
      </c>
      <c r="G97" s="11" t="inlineStr">
        <is>
          <t>+48 693 060 576</t>
        </is>
      </c>
      <c r="H97" s="11" t="n"/>
      <c r="I97" s="11" t="n"/>
      <c r="J97" s="11" t="inlineStr">
        <is>
          <t>Jaktorowska 2</t>
        </is>
      </c>
      <c r="K97" s="11" t="n"/>
      <c r="L97" s="11" t="inlineStr">
        <is>
          <t>Wlasciciel / Elektryk</t>
        </is>
      </c>
      <c r="M97" s="12" t="n">
        <v>5</v>
      </c>
      <c r="N97" s="13" t="n">
        <v>5</v>
      </c>
      <c r="O97" s="9" t="inlineStr">
        <is>
          <t>Google Maps</t>
        </is>
      </c>
      <c r="P97" s="9" t="inlineStr">
        <is>
          <t>Nowa</t>
        </is>
      </c>
      <c r="Q97" s="10" t="n"/>
      <c r="R97" s="10" t="n"/>
      <c r="S97" s="11" t="inlineStr">
        <is>
          <t>[FACHOWIEC - nie klient] 5.0 gw 5 opinii. Kontrole i uslugi. Sredni lead.</t>
        </is>
      </c>
      <c r="T97" s="11" t="n"/>
    </row>
    <row r="98" ht="22" customHeight="1">
      <c r="A98" s="9">
        <f>IF(C98="","",ROW()-1)</f>
        <v/>
      </c>
      <c r="B98" s="10" t="n">
        <v>46135</v>
      </c>
      <c r="C98" s="11" t="inlineStr">
        <is>
          <t>edemi.pl - Uslugi elektryczne Ursynow/Mokotow</t>
        </is>
      </c>
      <c r="D98" s="9" t="inlineStr">
        <is>
          <t>Firmy budowlane</t>
        </is>
      </c>
      <c r="E98" s="9" t="inlineStr">
        <is>
          <t>TOP (zielony)</t>
        </is>
      </c>
      <c r="F98" s="9" t="inlineStr">
        <is>
          <t>Ursynow</t>
        </is>
      </c>
      <c r="G98" s="11" t="inlineStr">
        <is>
          <t>+48 505 467 669</t>
        </is>
      </c>
      <c r="H98" s="11" t="n"/>
      <c r="I98" s="11" t="n"/>
      <c r="J98" s="11" t="inlineStr">
        <is>
          <t>Belgradzka 44</t>
        </is>
      </c>
      <c r="K98" s="11" t="n"/>
      <c r="L98" s="11" t="inlineStr">
        <is>
          <t>Wlasciciel / Elektryk</t>
        </is>
      </c>
      <c r="M98" s="12" t="n">
        <v>34</v>
      </c>
      <c r="N98" s="13" t="n">
        <v>5</v>
      </c>
      <c r="O98" s="9" t="inlineStr">
        <is>
          <t>Google Maps</t>
        </is>
      </c>
      <c r="P98" s="9" t="inlineStr">
        <is>
          <t>Nowa</t>
        </is>
      </c>
      <c r="Q98" s="10" t="n"/>
      <c r="R98" s="10" t="n"/>
      <c r="S98" s="11" t="inlineStr">
        <is>
          <t>[FACHOWIEC - nie klient] 5.0 gw 34 opinii. Pan Daniel - kompetentny, punktualny. Lead grade A.</t>
        </is>
      </c>
      <c r="T98" s="11" t="n"/>
    </row>
    <row r="99" ht="22" customHeight="1">
      <c r="A99" s="9">
        <f>IF(C99="","",ROW()-1)</f>
        <v/>
      </c>
      <c r="B99" s="10" t="n">
        <v>46135</v>
      </c>
      <c r="C99" s="11" t="inlineStr">
        <is>
          <t>Elektryk Ursynow/Mokotow - instalacje</t>
        </is>
      </c>
      <c r="D99" s="9" t="inlineStr">
        <is>
          <t>Firmy budowlane</t>
        </is>
      </c>
      <c r="E99" s="9" t="inlineStr">
        <is>
          <t>Sredni (zolty)</t>
        </is>
      </c>
      <c r="F99" s="9" t="inlineStr">
        <is>
          <t>Ursynow</t>
        </is>
      </c>
      <c r="G99" s="11" t="inlineStr">
        <is>
          <t>+48 502 463 263</t>
        </is>
      </c>
      <c r="H99" s="11" t="n"/>
      <c r="I99" s="11" t="n"/>
      <c r="J99" s="11" t="inlineStr">
        <is>
          <t>Zwiazku Walki Mlodych 17</t>
        </is>
      </c>
      <c r="K99" s="11" t="n"/>
      <c r="L99" s="11" t="inlineStr">
        <is>
          <t>Wlasciciel / Elektryk</t>
        </is>
      </c>
      <c r="M99" s="12" t="n">
        <v>11</v>
      </c>
      <c r="N99" s="13" t="n">
        <v>4.7</v>
      </c>
      <c r="O99" s="9" t="inlineStr">
        <is>
          <t>Google Maps</t>
        </is>
      </c>
      <c r="P99" s="9" t="inlineStr">
        <is>
          <t>Nowa</t>
        </is>
      </c>
      <c r="Q99" s="10" t="n"/>
      <c r="R99" s="10" t="n"/>
      <c r="S99" s="11" t="inlineStr">
        <is>
          <t>[FACHOWIEC - nie klient] 4.7 gw 11 opinii. Wyceny online, uslugi zdalne. Sredni-top lead.</t>
        </is>
      </c>
      <c r="T99" s="11" t="n"/>
    </row>
    <row r="100" ht="22" customHeight="1">
      <c r="A100" s="9">
        <f>IF(C100="","",ROW()-1)</f>
        <v/>
      </c>
      <c r="B100" s="10" t="n">
        <v>46135</v>
      </c>
      <c r="C100" s="11" t="inlineStr">
        <is>
          <t>EXEL EXpress ELectric Miroslaw Mirkowski</t>
        </is>
      </c>
      <c r="D100" s="9" t="inlineStr">
        <is>
          <t>Firmy budowlane</t>
        </is>
      </c>
      <c r="E100" s="9" t="inlineStr">
        <is>
          <t>TOP (zielony)</t>
        </is>
      </c>
      <c r="F100" s="9" t="inlineStr">
        <is>
          <t>Ursynow</t>
        </is>
      </c>
      <c r="G100" s="11" t="inlineStr">
        <is>
          <t>+48 501 377 094</t>
        </is>
      </c>
      <c r="H100" s="11" t="n"/>
      <c r="I100" s="11" t="n"/>
      <c r="J100" s="11" t="inlineStr">
        <is>
          <t>Czeslawa Przybylskiego 11</t>
        </is>
      </c>
      <c r="K100" s="11" t="n"/>
      <c r="L100" s="11" t="inlineStr">
        <is>
          <t>Wlasciciel / Elektryk</t>
        </is>
      </c>
      <c r="M100" s="12" t="n">
        <v>73</v>
      </c>
      <c r="N100" s="13" t="n">
        <v>5</v>
      </c>
      <c r="O100" s="9" t="inlineStr">
        <is>
          <t>Google Maps</t>
        </is>
      </c>
      <c r="P100" s="9" t="inlineStr">
        <is>
          <t>Nowa</t>
        </is>
      </c>
      <c r="Q100" s="10" t="n"/>
      <c r="R100" s="10" t="n"/>
      <c r="S100" s="11" t="inlineStr">
        <is>
          <t>[FACHOWIEC - nie klient] 5.0 gw 73 opinii! Awarie zasilania AGD - niszowy top. Lead grade A.</t>
        </is>
      </c>
      <c r="T100" s="11" t="n"/>
    </row>
    <row r="101" ht="22" customHeight="1">
      <c r="A101" s="9">
        <f>IF(C101="","",ROW()-1)</f>
        <v/>
      </c>
      <c r="B101" s="10" t="n">
        <v>46135</v>
      </c>
      <c r="C101" s="11" t="inlineStr">
        <is>
          <t>VoltCraft - Elektryk Warszawa 24h</t>
        </is>
      </c>
      <c r="D101" s="9" t="inlineStr">
        <is>
          <t>Firmy budowlane</t>
        </is>
      </c>
      <c r="E101" s="9" t="inlineStr">
        <is>
          <t>Sredni (zolty)</t>
        </is>
      </c>
      <c r="F101" s="9" t="inlineStr">
        <is>
          <t>Ursynow</t>
        </is>
      </c>
      <c r="G101" s="11" t="inlineStr">
        <is>
          <t>+48 507 262 480</t>
        </is>
      </c>
      <c r="H101" s="11" t="n"/>
      <c r="I101" s="11" t="n"/>
      <c r="J101" s="11" t="inlineStr">
        <is>
          <t>Stanislawa Herbsta 4</t>
        </is>
      </c>
      <c r="K101" s="11" t="n"/>
      <c r="L101" s="11" t="inlineStr">
        <is>
          <t>Wlasciciel / Elektryk</t>
        </is>
      </c>
      <c r="M101" s="12" t="n">
        <v>15</v>
      </c>
      <c r="N101" s="13" t="n">
        <v>5</v>
      </c>
      <c r="O101" s="9" t="inlineStr">
        <is>
          <t>Google Maps</t>
        </is>
      </c>
      <c r="P101" s="9" t="inlineStr">
        <is>
          <t>Nowa</t>
        </is>
      </c>
      <c r="Q101" s="10" t="n"/>
      <c r="R101" s="10" t="n"/>
      <c r="S101" s="11" t="inlineStr">
        <is>
          <t>[FACHOWIEC - nie klient] 5.0 gw 15 opinii. Ratuje gdy inni kapitulowali. Top lead.</t>
        </is>
      </c>
      <c r="T101" s="11" t="n"/>
    </row>
    <row r="102" ht="22" customHeight="1">
      <c r="A102" s="9">
        <f>IF(C102="","",ROW()-1)</f>
        <v/>
      </c>
      <c r="B102" s="10" t="n">
        <v>46135</v>
      </c>
      <c r="C102" s="11" t="inlineStr">
        <is>
          <t>Uslugi elektryczne (Trombity)</t>
        </is>
      </c>
      <c r="D102" s="9" t="inlineStr">
        <is>
          <t>Firmy budowlane</t>
        </is>
      </c>
      <c r="E102" s="9" t="inlineStr">
        <is>
          <t>Niski (czerwony)</t>
        </is>
      </c>
      <c r="F102" s="9" t="inlineStr">
        <is>
          <t>Ursynow</t>
        </is>
      </c>
      <c r="G102" s="11" t="inlineStr">
        <is>
          <t>+48 793 572 021</t>
        </is>
      </c>
      <c r="H102" s="11" t="n"/>
      <c r="I102" s="11" t="n"/>
      <c r="J102" s="11" t="inlineStr">
        <is>
          <t>Trombity 28</t>
        </is>
      </c>
      <c r="K102" s="11" t="n"/>
      <c r="L102" s="11" t="inlineStr">
        <is>
          <t>Wlasciciel / Elektryk</t>
        </is>
      </c>
      <c r="M102" s="12" t="n">
        <v>2</v>
      </c>
      <c r="N102" s="13" t="n">
        <v>5</v>
      </c>
      <c r="O102" s="9" t="inlineStr">
        <is>
          <t>Google Maps</t>
        </is>
      </c>
      <c r="P102" s="9" t="inlineStr">
        <is>
          <t>Nowa</t>
        </is>
      </c>
      <c r="Q102" s="10" t="n"/>
      <c r="R102" s="10" t="n"/>
      <c r="S102" s="11" t="inlineStr">
        <is>
          <t>[FACHOWIEC - nie klient] Tylko 2 opinie. Niski priorytet.</t>
        </is>
      </c>
      <c r="T102" s="11" t="n"/>
    </row>
    <row r="103" ht="22" customHeight="1">
      <c r="A103" s="9">
        <f>IF(C103="","",ROW()-1)</f>
        <v/>
      </c>
      <c r="B103" s="10" t="n">
        <v>46135</v>
      </c>
      <c r="C103" s="11" t="inlineStr">
        <is>
          <t>Energus Smart Solution - Pogotowie elektryczne 24/7</t>
        </is>
      </c>
      <c r="D103" s="9" t="inlineStr">
        <is>
          <t>Firmy budowlane</t>
        </is>
      </c>
      <c r="E103" s="9" t="inlineStr">
        <is>
          <t>TOP (zielony)</t>
        </is>
      </c>
      <c r="F103" s="9" t="inlineStr">
        <is>
          <t>Praga-Poludnie</t>
        </is>
      </c>
      <c r="G103" s="11" t="inlineStr">
        <is>
          <t>+48 500 226 829</t>
        </is>
      </c>
      <c r="H103" s="11" t="n"/>
      <c r="I103" s="11" t="n"/>
      <c r="J103" s="11" t="inlineStr">
        <is>
          <t>Motorowa 1</t>
        </is>
      </c>
      <c r="K103" s="11" t="n"/>
      <c r="L103" s="11" t="inlineStr">
        <is>
          <t>Wlasciciel / Elektryk</t>
        </is>
      </c>
      <c r="M103" s="12" t="n">
        <v>129</v>
      </c>
      <c r="N103" s="13" t="n">
        <v>5</v>
      </c>
      <c r="O103" s="9" t="inlineStr">
        <is>
          <t>Google Maps</t>
        </is>
      </c>
      <c r="P103" s="9" t="inlineStr">
        <is>
          <t>Nowa</t>
        </is>
      </c>
      <c r="Q103" s="10" t="n"/>
      <c r="R103" s="10" t="n"/>
      <c r="S103" s="11" t="inlineStr">
        <is>
          <t>[FACHOWIEC - nie klient] GIGANT: 129 opinii 5.0 gw. Smart solutions. Lead AAA Pragi.</t>
        </is>
      </c>
      <c r="T103" s="11" t="n"/>
    </row>
    <row r="104" ht="22" customHeight="1">
      <c r="A104" s="9">
        <f>IF(C104="","",ROW()-1)</f>
        <v/>
      </c>
      <c r="B104" s="10" t="n">
        <v>46135</v>
      </c>
      <c r="C104" s="11" t="inlineStr">
        <is>
          <t>Elektryk Warszawa (Zolkiewskiego)</t>
        </is>
      </c>
      <c r="D104" s="9" t="inlineStr">
        <is>
          <t>Firmy budowlane</t>
        </is>
      </c>
      <c r="E104" s="9" t="inlineStr">
        <is>
          <t>Niski (czerwony)</t>
        </is>
      </c>
      <c r="F104" s="9" t="inlineStr">
        <is>
          <t>Praga-Poludnie</t>
        </is>
      </c>
      <c r="G104" s="11" t="inlineStr">
        <is>
          <t>+48 501 820 542</t>
        </is>
      </c>
      <c r="H104" s="11" t="n"/>
      <c r="I104" s="11" t="n"/>
      <c r="J104" s="11" t="inlineStr">
        <is>
          <t>Stanislawa Zolkiewskiego 68</t>
        </is>
      </c>
      <c r="K104" s="11" t="n"/>
      <c r="L104" s="11" t="inlineStr">
        <is>
          <t>Wlasciciel / Elektryk</t>
        </is>
      </c>
      <c r="M104" s="12" t="n">
        <v>2</v>
      </c>
      <c r="N104" s="13" t="n">
        <v>3</v>
      </c>
      <c r="O104" s="9" t="inlineStr">
        <is>
          <t>Google Maps</t>
        </is>
      </c>
      <c r="P104" s="9" t="inlineStr">
        <is>
          <t>Nowa</t>
        </is>
      </c>
      <c r="Q104" s="10" t="n"/>
      <c r="R104" s="10" t="n"/>
      <c r="S104" s="11" t="inlineStr">
        <is>
          <t>[FACHOWIEC - nie klient] Tylko 2 opinie 3.0 gw. Niski priorytet.</t>
        </is>
      </c>
      <c r="T104" s="11" t="n"/>
    </row>
    <row r="105" ht="22" customHeight="1">
      <c r="A105" s="9">
        <f>IF(C105="","",ROW()-1)</f>
        <v/>
      </c>
      <c r="B105" s="10" t="n">
        <v>46135</v>
      </c>
      <c r="C105" s="11" t="inlineStr">
        <is>
          <t>E.P.N Elektryk Przemyslaw Nurkiewicz</t>
        </is>
      </c>
      <c r="D105" s="9" t="inlineStr">
        <is>
          <t>Firmy budowlane</t>
        </is>
      </c>
      <c r="E105" s="9" t="inlineStr">
        <is>
          <t>Niski (czerwony)</t>
        </is>
      </c>
      <c r="F105" s="9" t="inlineStr">
        <is>
          <t>Praga-Poludnie</t>
        </is>
      </c>
      <c r="G105" s="11" t="inlineStr">
        <is>
          <t>+48 514 732 966</t>
        </is>
      </c>
      <c r="H105" s="11" t="n"/>
      <c r="I105" s="11" t="n"/>
      <c r="J105" s="11" t="inlineStr">
        <is>
          <t>Grochowska 174/176</t>
        </is>
      </c>
      <c r="K105" s="11" t="n"/>
      <c r="L105" s="11" t="inlineStr">
        <is>
          <t>Wlasciciel / Elektryk</t>
        </is>
      </c>
      <c r="M105" s="12" t="n">
        <v>4</v>
      </c>
      <c r="N105" s="13" t="n">
        <v>5</v>
      </c>
      <c r="O105" s="9" t="inlineStr">
        <is>
          <t>Google Maps</t>
        </is>
      </c>
      <c r="P105" s="9" t="inlineStr">
        <is>
          <t>Nowa</t>
        </is>
      </c>
      <c r="Q105" s="10" t="n"/>
      <c r="R105" s="10" t="n"/>
      <c r="S105" s="11" t="inlineStr">
        <is>
          <t>[FACHOWIEC - nie klient] 5.0 gw 4 opinii. Szybka reakcja. Sredni lead.</t>
        </is>
      </c>
      <c r="T105" s="11" t="n"/>
    </row>
    <row r="106" ht="22" customHeight="1">
      <c r="A106" s="9">
        <f>IF(C106="","",ROW()-1)</f>
        <v/>
      </c>
      <c r="B106" s="10" t="n">
        <v>46135</v>
      </c>
      <c r="C106" s="11" t="inlineStr">
        <is>
          <t>Elektryk Wawer/Rembertow/Praga Pd/Wesola/Anin</t>
        </is>
      </c>
      <c r="D106" s="9" t="inlineStr">
        <is>
          <t>Firmy budowlane</t>
        </is>
      </c>
      <c r="E106" s="9" t="inlineStr">
        <is>
          <t>Sredni (zolty)</t>
        </is>
      </c>
      <c r="F106" s="9" t="inlineStr">
        <is>
          <t>Praga-Poludnie</t>
        </is>
      </c>
      <c r="G106" s="11" t="inlineStr">
        <is>
          <t>+48 514 130 069</t>
        </is>
      </c>
      <c r="H106" s="11" t="n"/>
      <c r="I106" s="11" t="n"/>
      <c r="J106" s="11" t="inlineStr">
        <is>
          <t>Korkowa 82</t>
        </is>
      </c>
      <c r="K106" s="11" t="n"/>
      <c r="L106" s="11" t="inlineStr">
        <is>
          <t>Wlasciciel / Elektryk</t>
        </is>
      </c>
      <c r="M106" s="12" t="n">
        <v>6</v>
      </c>
      <c r="N106" s="13" t="n">
        <v>5</v>
      </c>
      <c r="O106" s="9" t="inlineStr">
        <is>
          <t>Google Maps</t>
        </is>
      </c>
      <c r="P106" s="9" t="inlineStr">
        <is>
          <t>Nowa</t>
        </is>
      </c>
      <c r="Q106" s="10" t="n"/>
      <c r="R106" s="10" t="n"/>
      <c r="S106" s="11" t="inlineStr">
        <is>
          <t>[FACHOWIEC - nie klient] 5.0 gw 6 opinii. Obsluguje wiele dzielnic PD. Sredni lead.</t>
        </is>
      </c>
      <c r="T106" s="11" t="n"/>
    </row>
    <row r="107" ht="22" customHeight="1">
      <c r="A107" s="9">
        <f>IF(C107="","",ROW()-1)</f>
        <v/>
      </c>
      <c r="B107" s="10" t="n">
        <v>46135</v>
      </c>
      <c r="C107" s="11" t="inlineStr">
        <is>
          <t>Elektryk MOSCA</t>
        </is>
      </c>
      <c r="D107" s="9" t="inlineStr">
        <is>
          <t>Firmy budowlane</t>
        </is>
      </c>
      <c r="E107" s="9" t="inlineStr">
        <is>
          <t>Sredni (zolty)</t>
        </is>
      </c>
      <c r="F107" s="9" t="inlineStr">
        <is>
          <t>Praga-Poludnie</t>
        </is>
      </c>
      <c r="G107" s="11" t="inlineStr">
        <is>
          <t>+48 514 493 720</t>
        </is>
      </c>
      <c r="H107" s="11" t="n"/>
      <c r="I107" s="11" t="n"/>
      <c r="J107" s="11" t="inlineStr">
        <is>
          <t>Majdanska 11</t>
        </is>
      </c>
      <c r="K107" s="11" t="n"/>
      <c r="L107" s="11" t="inlineStr">
        <is>
          <t>Wlasciciel / Elektryk</t>
        </is>
      </c>
      <c r="M107" s="12" t="n">
        <v>6</v>
      </c>
      <c r="N107" s="13" t="n">
        <v>5</v>
      </c>
      <c r="O107" s="9" t="inlineStr">
        <is>
          <t>Google Maps</t>
        </is>
      </c>
      <c r="P107" s="9" t="inlineStr">
        <is>
          <t>Nowa</t>
        </is>
      </c>
      <c r="Q107" s="10" t="n"/>
      <c r="R107" s="10" t="n"/>
      <c r="S107" s="11" t="inlineStr">
        <is>
          <t>[FACHOWIEC - nie klient] 5.0 gw 6 opinii. Sprawnie, fachowo. Sredni lead.</t>
        </is>
      </c>
      <c r="T107" s="11" t="n"/>
    </row>
    <row r="108" ht="22" customHeight="1">
      <c r="A108" s="9">
        <f>IF(C108="","",ROW()-1)</f>
        <v/>
      </c>
      <c r="B108" s="10" t="n">
        <v>46135</v>
      </c>
      <c r="C108" s="11" t="inlineStr">
        <is>
          <t>Hydraulik Warszawa</t>
        </is>
      </c>
      <c r="D108" s="9" t="inlineStr">
        <is>
          <t>Firmy budowlane</t>
        </is>
      </c>
      <c r="E108" s="9" t="inlineStr">
        <is>
          <t>TOP (zielony)</t>
        </is>
      </c>
      <c r="F108" s="9" t="n"/>
      <c r="G108" s="11" t="inlineStr">
        <is>
          <t>+48 516 283 365</t>
        </is>
      </c>
      <c r="H108" s="11" t="n"/>
      <c r="I108" s="11" t="n"/>
      <c r="J108" s="11" t="inlineStr">
        <is>
          <t>Radzyminska 8/10</t>
        </is>
      </c>
      <c r="K108" s="11" t="n"/>
      <c r="L108" s="11" t="inlineStr">
        <is>
          <t>Wlasciciel / Fachowiec</t>
        </is>
      </c>
      <c r="M108" s="12" t="n">
        <v>267</v>
      </c>
      <c r="N108" s="13" t="n">
        <v>5</v>
      </c>
      <c r="O108" s="9" t="inlineStr">
        <is>
          <t>Google Maps</t>
        </is>
      </c>
      <c r="P108" s="9" t="inlineStr">
        <is>
          <t>Nowa</t>
        </is>
      </c>
      <c r="Q108" s="10" t="n"/>
      <c r="R108" s="10" t="n"/>
      <c r="S108" s="11" t="inlineStr">
        <is>
          <t>[FACHOWIEC - nie klient] Hydraulik. Google Maps: 5 gw. z 267 opinii.</t>
        </is>
      </c>
      <c r="T108" s="11" t="n"/>
    </row>
    <row r="109" ht="22" customHeight="1">
      <c r="A109" s="9">
        <f>IF(C109="","",ROW()-1)</f>
        <v/>
      </c>
      <c r="B109" s="10" t="n">
        <v>46135</v>
      </c>
      <c r="C109" s="11" t="inlineStr">
        <is>
          <t>Hydraulik Warszawa Ryszard Dabrowski</t>
        </is>
      </c>
      <c r="D109" s="9" t="inlineStr">
        <is>
          <t>Firmy budowlane</t>
        </is>
      </c>
      <c r="E109" s="9" t="inlineStr">
        <is>
          <t>TOP (zielony)</t>
        </is>
      </c>
      <c r="F109" s="9" t="n"/>
      <c r="G109" s="11" t="inlineStr">
        <is>
          <t>+48 537 689 689</t>
        </is>
      </c>
      <c r="H109" s="11" t="n"/>
      <c r="I109" s="11" t="n"/>
      <c r="J109" s="11" t="n"/>
      <c r="K109" s="11" t="n"/>
      <c r="L109" s="11" t="inlineStr">
        <is>
          <t>Wlasciciel / Fachowiec</t>
        </is>
      </c>
      <c r="M109" s="12" t="n">
        <v>79</v>
      </c>
      <c r="N109" s="13" t="n">
        <v>4.5</v>
      </c>
      <c r="O109" s="9" t="inlineStr">
        <is>
          <t>Google Maps</t>
        </is>
      </c>
      <c r="P109" s="9" t="inlineStr">
        <is>
          <t>Nowa</t>
        </is>
      </c>
      <c r="Q109" s="10" t="n"/>
      <c r="R109" s="10" t="n"/>
      <c r="S109" s="11" t="inlineStr">
        <is>
          <t>[FACHOWIEC - nie klient] Hydraulik. Google Maps: 4.5 gw. z 79 opinii.</t>
        </is>
      </c>
      <c r="T109" s="11" t="n"/>
    </row>
    <row r="110" ht="22" customHeight="1">
      <c r="A110" s="9">
        <f>IF(C110="","",ROW()-1)</f>
        <v/>
      </c>
      <c r="B110" s="10" t="n">
        <v>46135</v>
      </c>
      <c r="C110" s="11" t="inlineStr">
        <is>
          <t>Twoj Hydraulik 24</t>
        </is>
      </c>
      <c r="D110" s="9" t="inlineStr">
        <is>
          <t>Firmy budowlane</t>
        </is>
      </c>
      <c r="E110" s="9" t="inlineStr">
        <is>
          <t>TOP (zielony)</t>
        </is>
      </c>
      <c r="F110" s="9" t="n"/>
      <c r="G110" s="11" t="inlineStr">
        <is>
          <t>+48 574 506 863</t>
        </is>
      </c>
      <c r="H110" s="11" t="n"/>
      <c r="I110" s="11" t="n"/>
      <c r="J110" s="11" t="n"/>
      <c r="K110" s="11" t="n"/>
      <c r="L110" s="11" t="inlineStr">
        <is>
          <t>Wlasciciel / Fachowiec</t>
        </is>
      </c>
      <c r="M110" s="12" t="n">
        <v>382</v>
      </c>
      <c r="N110" s="13" t="n">
        <v>4.7</v>
      </c>
      <c r="O110" s="9" t="inlineStr">
        <is>
          <t>Google Maps</t>
        </is>
      </c>
      <c r="P110" s="9" t="inlineStr">
        <is>
          <t>Nowa</t>
        </is>
      </c>
      <c r="Q110" s="10" t="n"/>
      <c r="R110" s="10" t="n"/>
      <c r="S110" s="11" t="inlineStr">
        <is>
          <t>[FACHOWIEC - nie klient] Hydraulik. Google Maps: 4.7 gw. z 382 opinii.</t>
        </is>
      </c>
      <c r="T110" s="11" t="n"/>
    </row>
    <row r="111" ht="22" customHeight="1">
      <c r="A111" s="9">
        <f>IF(C111="","",ROW()-1)</f>
        <v/>
      </c>
      <c r="B111" s="10" t="n">
        <v>46135</v>
      </c>
      <c r="C111" s="11" t="inlineStr">
        <is>
          <t>Marek Drabarek</t>
        </is>
      </c>
      <c r="D111" s="9" t="inlineStr">
        <is>
          <t>Firmy budowlane</t>
        </is>
      </c>
      <c r="E111" s="9" t="inlineStr">
        <is>
          <t>TOP (zielony)</t>
        </is>
      </c>
      <c r="F111" s="9" t="n"/>
      <c r="G111" s="11" t="inlineStr">
        <is>
          <t>+48 505 489 804</t>
        </is>
      </c>
      <c r="H111" s="11" t="n"/>
      <c r="I111" s="11" t="n"/>
      <c r="J111" s="11" t="inlineStr">
        <is>
          <t>Wrzeciono 17/lok. 104</t>
        </is>
      </c>
      <c r="K111" s="11" t="n"/>
      <c r="L111" s="11" t="inlineStr">
        <is>
          <t>Wlasciciel / Fachowiec</t>
        </is>
      </c>
      <c r="M111" s="12" t="n">
        <v>174</v>
      </c>
      <c r="N111" s="13" t="n">
        <v>5</v>
      </c>
      <c r="O111" s="9" t="inlineStr">
        <is>
          <t>Google Maps</t>
        </is>
      </c>
      <c r="P111" s="9" t="inlineStr">
        <is>
          <t>Nowa</t>
        </is>
      </c>
      <c r="Q111" s="10" t="n"/>
      <c r="R111" s="10" t="n"/>
      <c r="S111" s="11" t="inlineStr">
        <is>
          <t>[FACHOWIEC - nie klient] Hydraulik. Google Maps: 5 gw. z 174 opinii.</t>
        </is>
      </c>
      <c r="T111" s="11" t="n"/>
    </row>
    <row r="112" ht="22" customHeight="1">
      <c r="A112" s="9">
        <f>IF(C112="","",ROW()-1)</f>
        <v/>
      </c>
      <c r="B112" s="10" t="n">
        <v>46135</v>
      </c>
      <c r="C112" s="11" t="inlineStr">
        <is>
          <t>Speco</t>
        </is>
      </c>
      <c r="D112" s="9" t="inlineStr">
        <is>
          <t>Firmy budowlane</t>
        </is>
      </c>
      <c r="E112" s="9" t="inlineStr">
        <is>
          <t>TOP (zielony)</t>
        </is>
      </c>
      <c r="F112" s="9" t="n"/>
      <c r="G112" s="11" t="inlineStr">
        <is>
          <t>+48 501 254 456</t>
        </is>
      </c>
      <c r="H112" s="11" t="n"/>
      <c r="I112" s="11" t="n"/>
      <c r="J112" s="11" t="inlineStr">
        <is>
          <t>al. Jerzego Waszyngtona 65/13</t>
        </is>
      </c>
      <c r="K112" s="11" t="n"/>
      <c r="L112" s="11" t="inlineStr">
        <is>
          <t>Wlasciciel / Fachowiec</t>
        </is>
      </c>
      <c r="M112" s="12" t="n">
        <v>429</v>
      </c>
      <c r="N112" s="13" t="n">
        <v>5</v>
      </c>
      <c r="O112" s="9" t="inlineStr">
        <is>
          <t>Google Maps</t>
        </is>
      </c>
      <c r="P112" s="9" t="inlineStr">
        <is>
          <t>Nowa</t>
        </is>
      </c>
      <c r="Q112" s="10" t="n"/>
      <c r="R112" s="10" t="n"/>
      <c r="S112" s="11" t="inlineStr">
        <is>
          <t>[FACHOWIEC - nie klient] Hydraulik. Google Maps: 5 gw. z 429 opinii.</t>
        </is>
      </c>
      <c r="T112" s="11" t="n"/>
    </row>
    <row r="113" ht="22" customHeight="1">
      <c r="A113" s="9">
        <f>IF(C113="","",ROW()-1)</f>
        <v/>
      </c>
      <c r="B113" s="10" t="n">
        <v>46135</v>
      </c>
      <c r="C113" s="11" t="inlineStr">
        <is>
          <t>Hydraulik Daniel – Usługi Hydrauliczne</t>
        </is>
      </c>
      <c r="D113" s="9" t="inlineStr">
        <is>
          <t>Firmy budowlane</t>
        </is>
      </c>
      <c r="E113" s="9" t="inlineStr">
        <is>
          <t>TOP (zielony)</t>
        </is>
      </c>
      <c r="F113" s="9" t="n"/>
      <c r="G113" s="11" t="inlineStr">
        <is>
          <t>+48 519 783 667</t>
        </is>
      </c>
      <c r="H113" s="11" t="n"/>
      <c r="I113" s="11" t="n"/>
      <c r="J113" s="11" t="n"/>
      <c r="K113" s="11" t="n"/>
      <c r="L113" s="11" t="inlineStr">
        <is>
          <t>Wlasciciel / Fachowiec</t>
        </is>
      </c>
      <c r="M113" s="12" t="n">
        <v>128</v>
      </c>
      <c r="N113" s="13" t="n">
        <v>4.9</v>
      </c>
      <c r="O113" s="9" t="inlineStr">
        <is>
          <t>Google Maps</t>
        </is>
      </c>
      <c r="P113" s="9" t="inlineStr">
        <is>
          <t>Nowa</t>
        </is>
      </c>
      <c r="Q113" s="10" t="n"/>
      <c r="R113" s="10" t="n"/>
      <c r="S113" s="11" t="inlineStr">
        <is>
          <t>[FACHOWIEC - nie klient] Hydraulik. Google Maps: 4.9 gw. z 128 opinii.</t>
        </is>
      </c>
      <c r="T113" s="11" t="n"/>
    </row>
    <row r="114" ht="22" customHeight="1">
      <c r="A114" s="9">
        <f>IF(C114="","",ROW()-1)</f>
        <v/>
      </c>
      <c r="B114" s="10" t="n">
        <v>46135</v>
      </c>
      <c r="C114" s="11" t="inlineStr">
        <is>
          <t>Pogotowie Hydrauliczne i Elektryczne | EDkan</t>
        </is>
      </c>
      <c r="D114" s="9" t="inlineStr">
        <is>
          <t>Firmy budowlane</t>
        </is>
      </c>
      <c r="E114" s="9" t="inlineStr">
        <is>
          <t>TOP (zielony)</t>
        </is>
      </c>
      <c r="F114" s="9" t="n"/>
      <c r="G114" s="11" t="inlineStr">
        <is>
          <t>+48 505 555 106</t>
        </is>
      </c>
      <c r="H114" s="11" t="n"/>
      <c r="I114" s="11" t="n"/>
      <c r="J114" s="11" t="inlineStr">
        <is>
          <t>Marcina Kasprzaka 29</t>
        </is>
      </c>
      <c r="K114" s="11" t="n"/>
      <c r="L114" s="11" t="inlineStr">
        <is>
          <t>Wlasciciel / Fachowiec</t>
        </is>
      </c>
      <c r="M114" s="12" t="n">
        <v>159</v>
      </c>
      <c r="N114" s="13" t="n">
        <v>4.8</v>
      </c>
      <c r="O114" s="9" t="inlineStr">
        <is>
          <t>Google Maps</t>
        </is>
      </c>
      <c r="P114" s="9" t="inlineStr">
        <is>
          <t>Nowa</t>
        </is>
      </c>
      <c r="Q114" s="10" t="n"/>
      <c r="R114" s="10" t="n"/>
      <c r="S114" s="11" t="inlineStr">
        <is>
          <t>[FACHOWIEC - nie klient] Hydraulik. Google Maps: 4.8 gw. z 159 opinii.</t>
        </is>
      </c>
      <c r="T114" s="11" t="n"/>
    </row>
    <row r="115" ht="22" customHeight="1">
      <c r="A115" s="9">
        <f>IF(C115="","",ROW()-1)</f>
        <v/>
      </c>
      <c r="B115" s="10" t="n">
        <v>46135</v>
      </c>
      <c r="C115" s="11" t="inlineStr">
        <is>
          <t>Went-Klima | Serwis i montaz klimatyzacji Warszawa</t>
        </is>
      </c>
      <c r="D115" s="9" t="inlineStr">
        <is>
          <t>Firmy budowlane</t>
        </is>
      </c>
      <c r="E115" s="9" t="inlineStr">
        <is>
          <t>TOP (zielony)</t>
        </is>
      </c>
      <c r="F115" s="9" t="n"/>
      <c r="G115" s="11" t="inlineStr">
        <is>
          <t>+48 22 511 53 33</t>
        </is>
      </c>
      <c r="H115" s="11" t="n"/>
      <c r="I115" s="11" t="n"/>
      <c r="J115" s="11" t="inlineStr">
        <is>
          <t>Marymoncka 34</t>
        </is>
      </c>
      <c r="K115" s="11" t="n"/>
      <c r="L115" s="11" t="inlineStr">
        <is>
          <t>Wlasciciel / Fachowiec</t>
        </is>
      </c>
      <c r="M115" s="12" t="n">
        <v>529</v>
      </c>
      <c r="N115" s="13" t="n">
        <v>4.9</v>
      </c>
      <c r="O115" s="9" t="inlineStr">
        <is>
          <t>Google Maps</t>
        </is>
      </c>
      <c r="P115" s="9" t="inlineStr">
        <is>
          <t>Nowa</t>
        </is>
      </c>
      <c r="Q115" s="10" t="n"/>
      <c r="R115" s="10" t="n"/>
      <c r="S115" s="11" t="inlineStr">
        <is>
          <t>[FACHOWIEC - nie klient] Klimatyzacja / wentylacja. Google Maps: 4.9 gw. z 529 opinii.</t>
        </is>
      </c>
      <c r="T115" s="11" t="n"/>
    </row>
    <row r="116" ht="22" customHeight="1">
      <c r="A116" s="9">
        <f>IF(C116="","",ROW()-1)</f>
        <v/>
      </c>
      <c r="B116" s="10" t="n">
        <v>46135</v>
      </c>
      <c r="C116" s="11" t="inlineStr">
        <is>
          <t>wer System - klimatyzacja Warszawa - wentylacja - serwis central wentylacyjnych Warszawa - montaz klimatyzacji</t>
        </is>
      </c>
      <c r="D116" s="9" t="inlineStr">
        <is>
          <t>Firmy budowlane</t>
        </is>
      </c>
      <c r="E116" s="9" t="inlineStr">
        <is>
          <t>TOP (zielony)</t>
        </is>
      </c>
      <c r="F116" s="9" t="n"/>
      <c r="G116" s="11" t="inlineStr">
        <is>
          <t>+48 698 632 585</t>
        </is>
      </c>
      <c r="H116" s="11" t="n"/>
      <c r="I116" s="11" t="n"/>
      <c r="J116" s="11" t="inlineStr">
        <is>
          <t>Domaniewska 47/10</t>
        </is>
      </c>
      <c r="K116" s="11" t="n"/>
      <c r="L116" s="11" t="inlineStr">
        <is>
          <t>Wlasciciel / Fachowiec</t>
        </is>
      </c>
      <c r="M116" s="12" t="n">
        <v>80</v>
      </c>
      <c r="N116" s="13" t="n">
        <v>5</v>
      </c>
      <c r="O116" s="9" t="inlineStr">
        <is>
          <t>Google Maps</t>
        </is>
      </c>
      <c r="P116" s="9" t="inlineStr">
        <is>
          <t>Nowa</t>
        </is>
      </c>
      <c r="Q116" s="10" t="n"/>
      <c r="R116" s="10" t="n"/>
      <c r="S116" s="11" t="inlineStr">
        <is>
          <t>[FACHOWIEC - nie klient] Klimatyzacja / wentylacja. Google Maps: 5 gw. z 80 opinii.</t>
        </is>
      </c>
      <c r="T116" s="11" t="n"/>
    </row>
    <row r="117" ht="22" customHeight="1">
      <c r="A117" s="9">
        <f>IF(C117="","",ROW()-1)</f>
        <v/>
      </c>
      <c r="B117" s="10" t="n">
        <v>46135</v>
      </c>
      <c r="C117" s="11" t="inlineStr">
        <is>
          <t>ECOKLIMA - Klimatyzacja Warszawa</t>
        </is>
      </c>
      <c r="D117" s="9" t="inlineStr">
        <is>
          <t>Firmy budowlane</t>
        </is>
      </c>
      <c r="E117" s="9" t="inlineStr">
        <is>
          <t>TOP (zielony)</t>
        </is>
      </c>
      <c r="F117" s="9" t="n"/>
      <c r="G117" s="11" t="inlineStr">
        <is>
          <t>+48 785 189 022</t>
        </is>
      </c>
      <c r="H117" s="11" t="n"/>
      <c r="I117" s="11" t="n"/>
      <c r="J117" s="11" t="inlineStr">
        <is>
          <t>Grojecka 43/1a</t>
        </is>
      </c>
      <c r="K117" s="11" t="n"/>
      <c r="L117" s="11" t="inlineStr">
        <is>
          <t>Wlasciciel / Fachowiec</t>
        </is>
      </c>
      <c r="M117" s="12" t="n">
        <v>96</v>
      </c>
      <c r="N117" s="13" t="n">
        <v>5</v>
      </c>
      <c r="O117" s="9" t="inlineStr">
        <is>
          <t>Google Maps</t>
        </is>
      </c>
      <c r="P117" s="9" t="inlineStr">
        <is>
          <t>Nowa</t>
        </is>
      </c>
      <c r="Q117" s="10" t="n"/>
      <c r="R117" s="10" t="n"/>
      <c r="S117" s="11" t="inlineStr">
        <is>
          <t>[FACHOWIEC - nie klient] Klimatyzacja / wentylacja. Google Maps: 5 gw. z 96 opinii.</t>
        </is>
      </c>
      <c r="T117" s="11" t="n"/>
    </row>
    <row r="118" ht="22" customHeight="1">
      <c r="A118" s="9">
        <f>IF(C118="","",ROW()-1)</f>
        <v/>
      </c>
      <c r="B118" s="10" t="n">
        <v>46135</v>
      </c>
      <c r="C118" s="11" t="inlineStr">
        <is>
          <t>KLIMA-TOP | Klimatyzacja, Nagrzewnice, Osuszacze</t>
        </is>
      </c>
      <c r="D118" s="9" t="inlineStr">
        <is>
          <t>Firmy budowlane</t>
        </is>
      </c>
      <c r="E118" s="9" t="inlineStr">
        <is>
          <t>TOP (zielony)</t>
        </is>
      </c>
      <c r="F118" s="9" t="n"/>
      <c r="G118" s="11" t="inlineStr">
        <is>
          <t>+48 500 835 882</t>
        </is>
      </c>
      <c r="H118" s="11" t="n"/>
      <c r="I118" s="11" t="n"/>
      <c r="J118" s="11" t="inlineStr">
        <is>
          <t>Agatowa 15</t>
        </is>
      </c>
      <c r="K118" s="11" t="n"/>
      <c r="L118" s="11" t="inlineStr">
        <is>
          <t>Wlasciciel / Fachowiec</t>
        </is>
      </c>
      <c r="M118" s="12" t="n">
        <v>914</v>
      </c>
      <c r="N118" s="13" t="n">
        <v>4.9</v>
      </c>
      <c r="O118" s="9" t="inlineStr">
        <is>
          <t>Google Maps</t>
        </is>
      </c>
      <c r="P118" s="9" t="inlineStr">
        <is>
          <t>Nowa</t>
        </is>
      </c>
      <c r="Q118" s="10" t="n"/>
      <c r="R118" s="10" t="n"/>
      <c r="S118" s="11" t="inlineStr">
        <is>
          <t>[FACHOWIEC - nie klient] Klimatyzacja / wentylacja. Google Maps: 4.9 gw. z 914 opinii.</t>
        </is>
      </c>
      <c r="T118" s="11" t="n"/>
    </row>
    <row r="119" ht="22" customHeight="1">
      <c r="A119" s="9">
        <f>IF(C119="","",ROW()-1)</f>
        <v/>
      </c>
      <c r="B119" s="10" t="n">
        <v>46135</v>
      </c>
      <c r="C119" s="11" t="inlineStr">
        <is>
          <t>EkipaHVAC.pl</t>
        </is>
      </c>
      <c r="D119" s="9" t="inlineStr">
        <is>
          <t>Firmy budowlane</t>
        </is>
      </c>
      <c r="E119" s="9" t="inlineStr">
        <is>
          <t>TOP (zielony)</t>
        </is>
      </c>
      <c r="F119" s="9" t="n"/>
      <c r="G119" s="11" t="inlineStr">
        <is>
          <t>+48 22 602 20 19</t>
        </is>
      </c>
      <c r="H119" s="11" t="n"/>
      <c r="I119" s="11" t="n"/>
      <c r="J119" s="11" t="inlineStr">
        <is>
          <t>Tytusa Chałubinskiego 8</t>
        </is>
      </c>
      <c r="K119" s="11" t="n"/>
      <c r="L119" s="11" t="inlineStr">
        <is>
          <t>Wlasciciel / Fachowiec</t>
        </is>
      </c>
      <c r="M119" s="12" t="n">
        <v>216</v>
      </c>
      <c r="N119" s="13" t="n">
        <v>5</v>
      </c>
      <c r="O119" s="9" t="inlineStr">
        <is>
          <t>Google Maps</t>
        </is>
      </c>
      <c r="P119" s="9" t="inlineStr">
        <is>
          <t>Nowa</t>
        </is>
      </c>
      <c r="Q119" s="10" t="n"/>
      <c r="R119" s="10" t="n"/>
      <c r="S119" s="11" t="inlineStr">
        <is>
          <t>[FACHOWIEC - nie klient] Klimatyzacja / wentylacja. Google Maps: 5 gw. z 216 opinii.</t>
        </is>
      </c>
      <c r="T119" s="11" t="n"/>
    </row>
    <row r="120" ht="22" customHeight="1">
      <c r="A120" s="9">
        <f>IF(C120="","",ROW()-1)</f>
        <v/>
      </c>
      <c r="B120" s="10" t="n">
        <v>46135</v>
      </c>
      <c r="C120" s="11" t="inlineStr">
        <is>
          <t>Klimazbyt Warszawa Sp. z o.o. Klimatyzacja, Wentylacja, Chłodnictwo. Hurtownia HVACR</t>
        </is>
      </c>
      <c r="D120" s="9" t="inlineStr">
        <is>
          <t>Firmy budowlane</t>
        </is>
      </c>
      <c r="E120" s="9" t="inlineStr">
        <is>
          <t>TOP (zielony)</t>
        </is>
      </c>
      <c r="F120" s="9" t="n"/>
      <c r="G120" s="11" t="inlineStr">
        <is>
          <t>+48 669 994 633</t>
        </is>
      </c>
      <c r="H120" s="11" t="n"/>
      <c r="I120" s="11" t="n"/>
      <c r="J120" s="11" t="inlineStr">
        <is>
          <t>Przedpole 1</t>
        </is>
      </c>
      <c r="K120" s="11" t="n"/>
      <c r="L120" s="11" t="inlineStr">
        <is>
          <t>Wlasciciel / Fachowiec</t>
        </is>
      </c>
      <c r="M120" s="12" t="n">
        <v>73</v>
      </c>
      <c r="N120" s="13" t="n">
        <v>4.8</v>
      </c>
      <c r="O120" s="9" t="inlineStr">
        <is>
          <t>Google Maps</t>
        </is>
      </c>
      <c r="P120" s="9" t="inlineStr">
        <is>
          <t>Nowa</t>
        </is>
      </c>
      <c r="Q120" s="10" t="n"/>
      <c r="R120" s="10" t="n"/>
      <c r="S120" s="11" t="inlineStr">
        <is>
          <t>[FACHOWIEC - nie klient] Klimatyzacja / wentylacja. Google Maps: 4.8 gw. z 73 opinii.</t>
        </is>
      </c>
      <c r="T120" s="11" t="n"/>
    </row>
    <row r="121" ht="22" customHeight="1">
      <c r="A121" s="9">
        <f>IF(C121="","",ROW()-1)</f>
        <v/>
      </c>
      <c r="B121" s="10" t="n">
        <v>46135</v>
      </c>
      <c r="C121" s="11" t="inlineStr">
        <is>
          <t>Firma Remontowa</t>
        </is>
      </c>
      <c r="D121" s="9" t="inlineStr">
        <is>
          <t>Firmy budowlane</t>
        </is>
      </c>
      <c r="E121" s="9" t="inlineStr">
        <is>
          <t>TOP (zielony)</t>
        </is>
      </c>
      <c r="F121" s="9" t="n"/>
      <c r="G121" s="11" t="inlineStr">
        <is>
          <t>+48 725 415 996</t>
        </is>
      </c>
      <c r="H121" s="11" t="n"/>
      <c r="I121" s="11" t="n"/>
      <c r="J121" s="11" t="inlineStr">
        <is>
          <t>Wilenska</t>
        </is>
      </c>
      <c r="K121" s="11" t="n"/>
      <c r="L121" s="11" t="inlineStr">
        <is>
          <t>Wlasciciel / Fachowiec</t>
        </is>
      </c>
      <c r="M121" s="12" t="n">
        <v>37</v>
      </c>
      <c r="N121" s="13" t="n">
        <v>4.9</v>
      </c>
      <c r="O121" s="9" t="inlineStr">
        <is>
          <t>Google Maps</t>
        </is>
      </c>
      <c r="P121" s="9" t="inlineStr">
        <is>
          <t>Nowa</t>
        </is>
      </c>
      <c r="Q121" s="10" t="n"/>
      <c r="R121" s="10" t="n"/>
      <c r="S121" s="11" t="inlineStr">
        <is>
          <t>[FACHOWIEC - nie klient] Malarz. Google Maps: 4.9 gw. z 37 opinii.</t>
        </is>
      </c>
      <c r="T121" s="11" t="n"/>
    </row>
    <row r="122" ht="22" customHeight="1">
      <c r="A122" s="9">
        <f>IF(C122="","",ROW()-1)</f>
        <v/>
      </c>
      <c r="B122" s="10" t="n">
        <v>46135</v>
      </c>
      <c r="C122" s="11" t="inlineStr">
        <is>
          <t>Malowanie Scian Warszawa</t>
        </is>
      </c>
      <c r="D122" s="9" t="inlineStr">
        <is>
          <t>Firmy budowlane</t>
        </is>
      </c>
      <c r="E122" s="9" t="inlineStr">
        <is>
          <t>Sredni (zolty)</t>
        </is>
      </c>
      <c r="F122" s="9" t="n"/>
      <c r="G122" s="11" t="inlineStr">
        <is>
          <t>+48 455 402 410</t>
        </is>
      </c>
      <c r="H122" s="11" t="n"/>
      <c r="I122" s="11" t="n"/>
      <c r="J122" s="11" t="inlineStr">
        <is>
          <t>Geodetow 4</t>
        </is>
      </c>
      <c r="K122" s="11" t="n"/>
      <c r="L122" s="11" t="inlineStr">
        <is>
          <t>Wlasciciel / Fachowiec</t>
        </is>
      </c>
      <c r="M122" s="12" t="n">
        <v>14</v>
      </c>
      <c r="N122" s="13" t="n">
        <v>5</v>
      </c>
      <c r="O122" s="9" t="inlineStr">
        <is>
          <t>Google Maps</t>
        </is>
      </c>
      <c r="P122" s="9" t="inlineStr">
        <is>
          <t>Nowa</t>
        </is>
      </c>
      <c r="Q122" s="10" t="n"/>
      <c r="R122" s="10" t="n"/>
      <c r="S122" s="11" t="inlineStr">
        <is>
          <t>[FACHOWIEC - nie klient] Malarz. Google Maps: 5 gw. z 14 opinii.</t>
        </is>
      </c>
      <c r="T122" s="11" t="n"/>
    </row>
    <row r="123" ht="22" customHeight="1">
      <c r="A123" s="9">
        <f>IF(C123="","",ROW()-1)</f>
        <v/>
      </c>
      <c r="B123" s="10" t="n">
        <v>46135</v>
      </c>
      <c r="C123" s="11" t="inlineStr">
        <is>
          <t>Malowanie Scian Wawer</t>
        </is>
      </c>
      <c r="D123" s="9" t="inlineStr">
        <is>
          <t>Firmy budowlane</t>
        </is>
      </c>
      <c r="E123" s="9" t="inlineStr">
        <is>
          <t>Sredni (zolty)</t>
        </is>
      </c>
      <c r="F123" s="9" t="n"/>
      <c r="G123" s="11" t="inlineStr">
        <is>
          <t>+48 455 402 077</t>
        </is>
      </c>
      <c r="H123" s="11" t="n"/>
      <c r="I123" s="11" t="n"/>
      <c r="J123" s="11" t="inlineStr">
        <is>
          <t>Mieczysława Pozaryskiego 21A</t>
        </is>
      </c>
      <c r="K123" s="11" t="n"/>
      <c r="L123" s="11" t="inlineStr">
        <is>
          <t>Wlasciciel / Fachowiec</t>
        </is>
      </c>
      <c r="M123" s="12" t="n">
        <v>9</v>
      </c>
      <c r="N123" s="13" t="n">
        <v>5</v>
      </c>
      <c r="O123" s="9" t="inlineStr">
        <is>
          <t>Google Maps</t>
        </is>
      </c>
      <c r="P123" s="9" t="inlineStr">
        <is>
          <t>Nowa</t>
        </is>
      </c>
      <c r="Q123" s="10" t="n"/>
      <c r="R123" s="10" t="n"/>
      <c r="S123" s="11" t="inlineStr">
        <is>
          <t>[FACHOWIEC - nie klient] Malarz. Google Maps: 5 gw. z 9 opinii.</t>
        </is>
      </c>
      <c r="T123" s="11" t="n"/>
    </row>
    <row r="124" ht="22" customHeight="1">
      <c r="A124" s="9">
        <f>IF(C124="","",ROW()-1)</f>
        <v/>
      </c>
      <c r="B124" s="10" t="n">
        <v>46135</v>
      </c>
      <c r="C124" s="11" t="inlineStr">
        <is>
          <t>Malowanie Warszawa</t>
        </is>
      </c>
      <c r="D124" s="9" t="inlineStr">
        <is>
          <t>Firmy budowlane</t>
        </is>
      </c>
      <c r="E124" s="9" t="inlineStr">
        <is>
          <t>Sredni (zolty)</t>
        </is>
      </c>
      <c r="F124" s="9" t="n"/>
      <c r="G124" s="11" t="inlineStr">
        <is>
          <t>+48 507 661 997</t>
        </is>
      </c>
      <c r="H124" s="11" t="n"/>
      <c r="I124" s="11" t="n"/>
      <c r="J124" s="11" t="inlineStr">
        <is>
          <t>Henryka Brodatego 53</t>
        </is>
      </c>
      <c r="K124" s="11" t="n"/>
      <c r="L124" s="11" t="inlineStr">
        <is>
          <t>Wlasciciel / Fachowiec</t>
        </is>
      </c>
      <c r="M124" s="12" t="n">
        <v>6</v>
      </c>
      <c r="N124" s="13" t="n">
        <v>5</v>
      </c>
      <c r="O124" s="9" t="inlineStr">
        <is>
          <t>Google Maps</t>
        </is>
      </c>
      <c r="P124" s="9" t="inlineStr">
        <is>
          <t>Nowa</t>
        </is>
      </c>
      <c r="Q124" s="10" t="n"/>
      <c r="R124" s="10" t="n"/>
      <c r="S124" s="11" t="inlineStr">
        <is>
          <t>[FACHOWIEC - nie klient] Malarz. Google Maps: 5 gw. z 6 opinii.</t>
        </is>
      </c>
      <c r="T124" s="11" t="n"/>
    </row>
    <row r="125" ht="22" customHeight="1">
      <c r="A125" s="9">
        <f>IF(C125="","",ROW()-1)</f>
        <v/>
      </c>
      <c r="B125" s="10" t="n">
        <v>46135</v>
      </c>
      <c r="C125" s="11" t="inlineStr">
        <is>
          <t>Malowanie scian Warszawa - Piotr Smolinski</t>
        </is>
      </c>
      <c r="D125" s="9" t="inlineStr">
        <is>
          <t>Firmy budowlane</t>
        </is>
      </c>
      <c r="E125" s="9" t="inlineStr">
        <is>
          <t>Sredni (zolty)</t>
        </is>
      </c>
      <c r="F125" s="9" t="n"/>
      <c r="G125" s="11" t="inlineStr">
        <is>
          <t>+48 739 530 788</t>
        </is>
      </c>
      <c r="H125" s="11" t="n"/>
      <c r="I125" s="11" t="n"/>
      <c r="J125" s="11" t="inlineStr">
        <is>
          <t>Kaminskiego 2</t>
        </is>
      </c>
      <c r="K125" s="11" t="n"/>
      <c r="L125" s="11" t="inlineStr">
        <is>
          <t>Wlasciciel / Fachowiec</t>
        </is>
      </c>
      <c r="M125" s="12" t="n">
        <v>14</v>
      </c>
      <c r="N125" s="13" t="n">
        <v>5</v>
      </c>
      <c r="O125" s="9" t="inlineStr">
        <is>
          <t>Google Maps</t>
        </is>
      </c>
      <c r="P125" s="9" t="inlineStr">
        <is>
          <t>Nowa</t>
        </is>
      </c>
      <c r="Q125" s="10" t="n"/>
      <c r="R125" s="10" t="n"/>
      <c r="S125" s="11" t="inlineStr">
        <is>
          <t>[FACHOWIEC - nie klient] Malarz. Google Maps: 5 gw. z 14 opinii.</t>
        </is>
      </c>
      <c r="T125" s="11" t="n"/>
    </row>
    <row r="126" ht="22" customHeight="1">
      <c r="A126" s="9">
        <f>IF(C126="","",ROW()-1)</f>
        <v/>
      </c>
      <c r="B126" s="10" t="n">
        <v>46135</v>
      </c>
      <c r="C126" s="11" t="inlineStr">
        <is>
          <t>7malarzy</t>
        </is>
      </c>
      <c r="D126" s="9" t="inlineStr">
        <is>
          <t>Firmy budowlane</t>
        </is>
      </c>
      <c r="E126" s="9" t="inlineStr">
        <is>
          <t>Niski (czerwony)</t>
        </is>
      </c>
      <c r="F126" s="9" t="n"/>
      <c r="G126" s="11" t="inlineStr">
        <is>
          <t>+48 691 346 330</t>
        </is>
      </c>
      <c r="H126" s="11" t="n"/>
      <c r="I126" s="11" t="n"/>
      <c r="J126" s="11" t="inlineStr">
        <is>
          <t>Syreny 13b/6</t>
        </is>
      </c>
      <c r="K126" s="11" t="n"/>
      <c r="L126" s="11" t="inlineStr">
        <is>
          <t>Wlasciciel / Fachowiec</t>
        </is>
      </c>
      <c r="M126" s="12" t="n">
        <v>9</v>
      </c>
      <c r="N126" s="13" t="n">
        <v>3.4</v>
      </c>
      <c r="O126" s="9" t="inlineStr">
        <is>
          <t>Google Maps</t>
        </is>
      </c>
      <c r="P126" s="9" t="inlineStr">
        <is>
          <t>Nowa</t>
        </is>
      </c>
      <c r="Q126" s="10" t="n"/>
      <c r="R126" s="10" t="n"/>
      <c r="S126" s="11" t="inlineStr">
        <is>
          <t>[FACHOWIEC - nie klient] Malarz. Google Maps: 3.4 gw. z 9 opinii.</t>
        </is>
      </c>
      <c r="T126" s="11" t="n"/>
    </row>
    <row r="127" ht="22" customHeight="1">
      <c r="A127" s="9">
        <f>IF(C127="","",ROW()-1)</f>
        <v/>
      </c>
      <c r="B127" s="10" t="n">
        <v>46135</v>
      </c>
      <c r="C127" s="11" t="inlineStr">
        <is>
          <t>glazurnik warszawa</t>
        </is>
      </c>
      <c r="D127" s="9" t="inlineStr">
        <is>
          <t>Firmy budowlane</t>
        </is>
      </c>
      <c r="E127" s="9" t="inlineStr">
        <is>
          <t>Sredni (zolty)</t>
        </is>
      </c>
      <c r="F127" s="9" t="n"/>
      <c r="G127" s="11" t="inlineStr">
        <is>
          <t>+48 537 905 336</t>
        </is>
      </c>
      <c r="H127" s="11" t="n"/>
      <c r="I127" s="11" t="n"/>
      <c r="J127" s="11" t="inlineStr">
        <is>
          <t>Dominikanska 44</t>
        </is>
      </c>
      <c r="K127" s="11" t="n"/>
      <c r="L127" s="11" t="inlineStr">
        <is>
          <t>Wlasciciel / Fachowiec</t>
        </is>
      </c>
      <c r="M127" s="12" t="n">
        <v>6</v>
      </c>
      <c r="N127" s="13" t="n">
        <v>5</v>
      </c>
      <c r="O127" s="9" t="inlineStr">
        <is>
          <t>Google Maps</t>
        </is>
      </c>
      <c r="P127" s="9" t="inlineStr">
        <is>
          <t>Nowa</t>
        </is>
      </c>
      <c r="Q127" s="10" t="n"/>
      <c r="R127" s="10" t="n"/>
      <c r="S127" s="11" t="inlineStr">
        <is>
          <t>[FACHOWIEC - nie klient] Glazurnik / plytkarz. Google Maps: 5 gw. z 6 opinii.</t>
        </is>
      </c>
      <c r="T127" s="11" t="n"/>
    </row>
    <row r="128" ht="22" customHeight="1">
      <c r="A128" s="9">
        <f>IF(C128="","",ROW()-1)</f>
        <v/>
      </c>
      <c r="B128" s="10" t="n">
        <v>46135</v>
      </c>
      <c r="C128" s="11" t="inlineStr">
        <is>
          <t>Gitchata-Łazienki premium remonty glazurnik Warszawa Mokotow Wilanow</t>
        </is>
      </c>
      <c r="D128" s="9" t="inlineStr">
        <is>
          <t>Firmy budowlane</t>
        </is>
      </c>
      <c r="E128" s="9" t="inlineStr">
        <is>
          <t>Sredni (zolty)</t>
        </is>
      </c>
      <c r="F128" s="9" t="n"/>
      <c r="G128" s="11" t="inlineStr">
        <is>
          <t>+48 531 576 556</t>
        </is>
      </c>
      <c r="H128" s="11" t="n"/>
      <c r="I128" s="11" t="n"/>
      <c r="J128" s="11" t="inlineStr">
        <is>
          <t>Otwarcie: 07:00 · +48 531 576 556</t>
        </is>
      </c>
      <c r="K128" s="11" t="n"/>
      <c r="L128" s="11" t="inlineStr">
        <is>
          <t>Wlasciciel / Fachowiec</t>
        </is>
      </c>
      <c r="M128" s="12" t="n">
        <v>8</v>
      </c>
      <c r="N128" s="13" t="n">
        <v>5</v>
      </c>
      <c r="O128" s="9" t="inlineStr">
        <is>
          <t>Google Maps</t>
        </is>
      </c>
      <c r="P128" s="9" t="inlineStr">
        <is>
          <t>Nowa</t>
        </is>
      </c>
      <c r="Q128" s="10" t="n"/>
      <c r="R128" s="10" t="n"/>
      <c r="S128" s="11" t="inlineStr">
        <is>
          <t>[FACHOWIEC - nie klient] Glazurnik / plytkarz. Google Maps: 5 gw. z 8 opinii.</t>
        </is>
      </c>
      <c r="T128" s="11" t="n"/>
    </row>
    <row r="129" ht="22" customHeight="1">
      <c r="A129" s="9">
        <f>IF(C129="","",ROW()-1)</f>
        <v/>
      </c>
      <c r="B129" s="10" t="n">
        <v>46135</v>
      </c>
      <c r="C129" s="11" t="inlineStr">
        <is>
          <t>rszawa.Firma glazurnicza. Układanie płytek glazury. Spieki kwarcowe. Profesjonalne usługi. Duzy format płytek.</t>
        </is>
      </c>
      <c r="D129" s="9" t="inlineStr">
        <is>
          <t>Firmy budowlane</t>
        </is>
      </c>
      <c r="E129" s="9" t="inlineStr">
        <is>
          <t>Sredni (zolty)</t>
        </is>
      </c>
      <c r="F129" s="9" t="n"/>
      <c r="G129" s="11" t="inlineStr">
        <is>
          <t>+48 515 303 510</t>
        </is>
      </c>
      <c r="H129" s="11" t="n"/>
      <c r="I129" s="11" t="n"/>
      <c r="J129" s="11" t="inlineStr">
        <is>
          <t>Ostrodzka 156</t>
        </is>
      </c>
      <c r="K129" s="11" t="n"/>
      <c r="L129" s="11" t="inlineStr">
        <is>
          <t>Wlasciciel / Fachowiec</t>
        </is>
      </c>
      <c r="M129" s="12" t="n">
        <v>16</v>
      </c>
      <c r="N129" s="13" t="n">
        <v>5</v>
      </c>
      <c r="O129" s="9" t="inlineStr">
        <is>
          <t>Google Maps</t>
        </is>
      </c>
      <c r="P129" s="9" t="inlineStr">
        <is>
          <t>Nowa</t>
        </is>
      </c>
      <c r="Q129" s="10" t="n"/>
      <c r="R129" s="10" t="n"/>
      <c r="S129" s="11" t="inlineStr">
        <is>
          <t>[FACHOWIEC - nie klient] Glazurnik / plytkarz. Google Maps: 5 gw. z 16 opinii.</t>
        </is>
      </c>
      <c r="T129" s="11" t="n"/>
    </row>
    <row r="130" ht="22" customHeight="1">
      <c r="A130" s="9">
        <f>IF(C130="","",ROW()-1)</f>
        <v/>
      </c>
      <c r="B130" s="10" t="n">
        <v>46135</v>
      </c>
      <c r="C130" s="11" t="inlineStr">
        <is>
          <t>Glazurnik.pro</t>
        </is>
      </c>
      <c r="D130" s="9" t="inlineStr">
        <is>
          <t>Firmy budowlane</t>
        </is>
      </c>
      <c r="E130" s="9" t="inlineStr">
        <is>
          <t>Sredni (zolty)</t>
        </is>
      </c>
      <c r="F130" s="9" t="n"/>
      <c r="G130" s="11" t="inlineStr">
        <is>
          <t>+48 731 413 749</t>
        </is>
      </c>
      <c r="H130" s="11" t="n"/>
      <c r="I130" s="11" t="n"/>
      <c r="J130" s="11" t="inlineStr">
        <is>
          <t>Posag 7 Panien 16</t>
        </is>
      </c>
      <c r="K130" s="11" t="n"/>
      <c r="L130" s="11" t="inlineStr">
        <is>
          <t>Wlasciciel / Fachowiec</t>
        </is>
      </c>
      <c r="M130" s="12" t="n">
        <v>7</v>
      </c>
      <c r="N130" s="13" t="n">
        <v>5</v>
      </c>
      <c r="O130" s="9" t="inlineStr">
        <is>
          <t>Google Maps</t>
        </is>
      </c>
      <c r="P130" s="9" t="inlineStr">
        <is>
          <t>Nowa</t>
        </is>
      </c>
      <c r="Q130" s="10" t="n"/>
      <c r="R130" s="10" t="n"/>
      <c r="S130" s="11" t="inlineStr">
        <is>
          <t>[FACHOWIEC - nie klient] Glazurnik / plytkarz. Google Maps: 5 gw. z 7 opinii.</t>
        </is>
      </c>
      <c r="T130" s="11" t="n"/>
    </row>
    <row r="131" ht="22" customHeight="1">
      <c r="A131" s="9">
        <f>IF(C131="","",ROW()-1)</f>
        <v/>
      </c>
      <c r="B131" s="10" t="n">
        <v>46135</v>
      </c>
      <c r="C131" s="11" t="inlineStr">
        <is>
          <t>REMPEK Sp. z o.o.</t>
        </is>
      </c>
      <c r="D131" s="9" t="inlineStr">
        <is>
          <t>Firmy budowlane</t>
        </is>
      </c>
      <c r="E131" s="9" t="inlineStr">
        <is>
          <t>TOP (zielony)</t>
        </is>
      </c>
      <c r="F131" s="9" t="n"/>
      <c r="G131" s="11" t="inlineStr">
        <is>
          <t>+48 798 979 988</t>
        </is>
      </c>
      <c r="H131" s="11" t="n"/>
      <c r="I131" s="11" t="n"/>
      <c r="J131" s="11" t="inlineStr">
        <is>
          <t>Grojecka 67</t>
        </is>
      </c>
      <c r="K131" s="11" t="n"/>
      <c r="L131" s="11" t="inlineStr">
        <is>
          <t>Wlasciciel / Fachowiec</t>
        </is>
      </c>
      <c r="M131" s="12" t="n">
        <v>48</v>
      </c>
      <c r="N131" s="13" t="n">
        <v>4.8</v>
      </c>
      <c r="O131" s="9" t="inlineStr">
        <is>
          <t>Google Maps</t>
        </is>
      </c>
      <c r="P131" s="9" t="inlineStr">
        <is>
          <t>Nowa</t>
        </is>
      </c>
      <c r="Q131" s="10" t="n"/>
      <c r="R131" s="10" t="n"/>
      <c r="S131" s="11" t="inlineStr">
        <is>
          <t>[FACHOWIEC - nie klient] Glazurnik / plytkarz. Google Maps: 4.8 gw. z 48 opinii.</t>
        </is>
      </c>
      <c r="T131" s="11" t="n"/>
    </row>
    <row r="132" ht="22" customHeight="1">
      <c r="A132" s="9">
        <f>IF(C132="","",ROW()-1)</f>
        <v/>
      </c>
      <c r="B132" s="10" t="n">
        <v>46135</v>
      </c>
      <c r="C132" s="11" t="inlineStr">
        <is>
          <t>Układanie glazury Warszawa, układanie płytek - Dastpłyt</t>
        </is>
      </c>
      <c r="D132" s="9" t="inlineStr">
        <is>
          <t>Firmy budowlane</t>
        </is>
      </c>
      <c r="E132" s="9" t="inlineStr">
        <is>
          <t>Sredni (zolty)</t>
        </is>
      </c>
      <c r="F132" s="9" t="n"/>
      <c r="G132" s="11" t="inlineStr">
        <is>
          <t>+48 884 999 384</t>
        </is>
      </c>
      <c r="H132" s="11" t="n"/>
      <c r="I132" s="11" t="n"/>
      <c r="J132" s="11" t="inlineStr">
        <is>
          <t>Celulozy 131ZN</t>
        </is>
      </c>
      <c r="K132" s="11" t="n"/>
      <c r="L132" s="11" t="inlineStr">
        <is>
          <t>Wlasciciel / Fachowiec</t>
        </is>
      </c>
      <c r="M132" s="12" t="n">
        <v>7</v>
      </c>
      <c r="N132" s="13" t="n">
        <v>5</v>
      </c>
      <c r="O132" s="9" t="inlineStr">
        <is>
          <t>Google Maps</t>
        </is>
      </c>
      <c r="P132" s="9" t="inlineStr">
        <is>
          <t>Nowa</t>
        </is>
      </c>
      <c r="Q132" s="10" t="n"/>
      <c r="R132" s="10" t="n"/>
      <c r="S132" s="11" t="inlineStr">
        <is>
          <t>[FACHOWIEC - nie klient] Glazurnik / plytkarz. Google Maps: 5 gw. z 7 opinii.</t>
        </is>
      </c>
      <c r="T132" s="11" t="n"/>
    </row>
    <row r="133" ht="22" customHeight="1">
      <c r="A133" s="9">
        <f>IF(C133="","",ROW()-1)</f>
        <v/>
      </c>
      <c r="B133" s="10" t="n">
        <v>46135</v>
      </c>
      <c r="C133" s="11" t="inlineStr">
        <is>
          <t>larz Warszawa | Struktura drewna - meble na wymiar zawsze na czas | Kuchnie, Szafy, Zabudowy, Schody drewniane</t>
        </is>
      </c>
      <c r="D133" s="9" t="inlineStr">
        <is>
          <t>Firmy budowlane</t>
        </is>
      </c>
      <c r="E133" s="9" t="inlineStr">
        <is>
          <t>Sredni (zolty)</t>
        </is>
      </c>
      <c r="F133" s="9" t="n"/>
      <c r="G133" s="11" t="inlineStr">
        <is>
          <t>+48 794 596 277</t>
        </is>
      </c>
      <c r="H133" s="11" t="n"/>
      <c r="I133" s="11" t="n"/>
      <c r="J133" s="11" t="inlineStr">
        <is>
          <t>Bartycka 24/26</t>
        </is>
      </c>
      <c r="K133" s="11" t="n"/>
      <c r="L133" s="11" t="inlineStr">
        <is>
          <t>Wlasciciel / Fachowiec</t>
        </is>
      </c>
      <c r="M133" s="12" t="n">
        <v>18</v>
      </c>
      <c r="N133" s="13" t="n">
        <v>4.8</v>
      </c>
      <c r="O133" s="9" t="inlineStr">
        <is>
          <t>Google Maps</t>
        </is>
      </c>
      <c r="P133" s="9" t="inlineStr">
        <is>
          <t>Nowa</t>
        </is>
      </c>
      <c r="Q133" s="10" t="n"/>
      <c r="R133" s="10" t="n"/>
      <c r="S133" s="11" t="inlineStr">
        <is>
          <t>[FACHOWIEC - nie klient] Stolarz. Google Maps: 4.8 gw. z 18 opinii.</t>
        </is>
      </c>
      <c r="T133" s="11" t="n"/>
    </row>
    <row r="134" ht="22" customHeight="1">
      <c r="A134" s="9">
        <f>IF(C134="","",ROW()-1)</f>
        <v/>
      </c>
      <c r="B134" s="10" t="n">
        <v>46135</v>
      </c>
      <c r="C134" s="11" t="inlineStr">
        <is>
          <t>Meble na wymiar Deineka</t>
        </is>
      </c>
      <c r="D134" s="9" t="inlineStr">
        <is>
          <t>Firmy budowlane</t>
        </is>
      </c>
      <c r="E134" s="9" t="inlineStr">
        <is>
          <t>TOP (zielony)</t>
        </is>
      </c>
      <c r="F134" s="9" t="n"/>
      <c r="G134" s="11" t="inlineStr">
        <is>
          <t>+48 733 738 518</t>
        </is>
      </c>
      <c r="H134" s="11" t="n"/>
      <c r="I134" s="11" t="n"/>
      <c r="J134" s="11" t="inlineStr">
        <is>
          <t>Al. Jerozolimskie 85/21</t>
        </is>
      </c>
      <c r="K134" s="11" t="n"/>
      <c r="L134" s="11" t="inlineStr">
        <is>
          <t>Wlasciciel / Fachowiec</t>
        </is>
      </c>
      <c r="M134" s="12" t="n">
        <v>161</v>
      </c>
      <c r="N134" s="13" t="n">
        <v>4.7</v>
      </c>
      <c r="O134" s="9" t="inlineStr">
        <is>
          <t>Google Maps</t>
        </is>
      </c>
      <c r="P134" s="9" t="inlineStr">
        <is>
          <t>Nowa</t>
        </is>
      </c>
      <c r="Q134" s="10" t="n"/>
      <c r="R134" s="10" t="n"/>
      <c r="S134" s="11" t="inlineStr">
        <is>
          <t>[FACHOWIEC - nie klient] Stolarz. Google Maps: 4.7 gw. z 161 opinii.</t>
        </is>
      </c>
      <c r="T134" s="11" t="n"/>
    </row>
    <row r="135" ht="22" customHeight="1">
      <c r="A135" s="9">
        <f>IF(C135="","",ROW()-1)</f>
        <v/>
      </c>
      <c r="B135" s="10" t="n">
        <v>46135</v>
      </c>
      <c r="C135" s="11" t="inlineStr">
        <is>
          <t>MebleBieniek.pl na wymiar Kuchenne , szafy przesuwne , meble stolarz</t>
        </is>
      </c>
      <c r="D135" s="9" t="inlineStr">
        <is>
          <t>Firmy budowlane</t>
        </is>
      </c>
      <c r="E135" s="9" t="inlineStr">
        <is>
          <t>TOP (zielony)</t>
        </is>
      </c>
      <c r="F135" s="9" t="n"/>
      <c r="G135" s="11" t="inlineStr">
        <is>
          <t>+48 730 616 684</t>
        </is>
      </c>
      <c r="H135" s="11" t="n"/>
      <c r="I135" s="11" t="n"/>
      <c r="J135" s="11" t="inlineStr">
        <is>
          <t>Julianowska 38/m 3</t>
        </is>
      </c>
      <c r="K135" s="11" t="n"/>
      <c r="L135" s="11" t="inlineStr">
        <is>
          <t>Wlasciciel / Fachowiec</t>
        </is>
      </c>
      <c r="M135" s="12" t="n">
        <v>282</v>
      </c>
      <c r="N135" s="13" t="n">
        <v>4.8</v>
      </c>
      <c r="O135" s="9" t="inlineStr">
        <is>
          <t>Google Maps</t>
        </is>
      </c>
      <c r="P135" s="9" t="inlineStr">
        <is>
          <t>Nowa</t>
        </is>
      </c>
      <c r="Q135" s="10" t="n"/>
      <c r="R135" s="10" t="n"/>
      <c r="S135" s="11" t="inlineStr">
        <is>
          <t>[FACHOWIEC - nie klient] Stolarz. Google Maps: 4.8 gw. z 282 opinii.</t>
        </is>
      </c>
      <c r="T135" s="11" t="n"/>
    </row>
    <row r="136" ht="22" customHeight="1">
      <c r="A136" s="9">
        <f>IF(C136="","",ROW()-1)</f>
        <v/>
      </c>
      <c r="B136" s="10" t="n">
        <v>46135</v>
      </c>
      <c r="C136" s="11" t="inlineStr">
        <is>
          <t>Stolarz Meblowy Warszawa | Kuchnie, Szafy, Łazienki, Garderoby - na wymiar | STOLWOOD ROBERT TUROWSKI</t>
        </is>
      </c>
      <c r="D136" s="9" t="inlineStr">
        <is>
          <t>Firmy budowlane</t>
        </is>
      </c>
      <c r="E136" s="9" t="inlineStr">
        <is>
          <t>Sredni (zolty)</t>
        </is>
      </c>
      <c r="F136" s="9" t="n"/>
      <c r="G136" s="11" t="inlineStr">
        <is>
          <t>+48 690 278 129</t>
        </is>
      </c>
      <c r="H136" s="11" t="n"/>
      <c r="I136" s="11" t="n"/>
      <c r="J136" s="11" t="inlineStr">
        <is>
          <t>Terespolska 109</t>
        </is>
      </c>
      <c r="K136" s="11" t="n"/>
      <c r="L136" s="11" t="inlineStr">
        <is>
          <t>Wlasciciel / Fachowiec</t>
        </is>
      </c>
      <c r="M136" s="12" t="n">
        <v>7</v>
      </c>
      <c r="N136" s="13" t="n">
        <v>5</v>
      </c>
      <c r="O136" s="9" t="inlineStr">
        <is>
          <t>Google Maps</t>
        </is>
      </c>
      <c r="P136" s="9" t="inlineStr">
        <is>
          <t>Nowa</t>
        </is>
      </c>
      <c r="Q136" s="10" t="n"/>
      <c r="R136" s="10" t="n"/>
      <c r="S136" s="11" t="inlineStr">
        <is>
          <t>[FACHOWIEC - nie klient] Stolarz. Google Maps: 5 gw. z 7 opinii.</t>
        </is>
      </c>
      <c r="T136" s="11" t="n"/>
    </row>
    <row r="137" ht="22" customHeight="1">
      <c r="A137" s="9">
        <f>IF(C137="","",ROW()-1)</f>
        <v/>
      </c>
      <c r="B137" s="10" t="n">
        <v>46135</v>
      </c>
      <c r="C137" s="11" t="inlineStr">
        <is>
          <t>Stolarz Warszawa</t>
        </is>
      </c>
      <c r="D137" s="9" t="inlineStr">
        <is>
          <t>Firmy budowlane</t>
        </is>
      </c>
      <c r="E137" s="9" t="inlineStr">
        <is>
          <t>TOP (zielony)</t>
        </is>
      </c>
      <c r="F137" s="9" t="n"/>
      <c r="G137" s="11" t="inlineStr">
        <is>
          <t>+48 518 542 528</t>
        </is>
      </c>
      <c r="H137" s="11" t="n"/>
      <c r="I137" s="11" t="n"/>
      <c r="J137" s="11" t="inlineStr">
        <is>
          <t>Zupnicza</t>
        </is>
      </c>
      <c r="K137" s="11" t="n"/>
      <c r="L137" s="11" t="inlineStr">
        <is>
          <t>Wlasciciel / Fachowiec</t>
        </is>
      </c>
      <c r="M137" s="12" t="n">
        <v>26</v>
      </c>
      <c r="N137" s="13" t="n">
        <v>5</v>
      </c>
      <c r="O137" s="9" t="inlineStr">
        <is>
          <t>Google Maps</t>
        </is>
      </c>
      <c r="P137" s="9" t="inlineStr">
        <is>
          <t>Nowa</t>
        </is>
      </c>
      <c r="Q137" s="10" t="n"/>
      <c r="R137" s="10" t="n"/>
      <c r="S137" s="11" t="inlineStr">
        <is>
          <t>[FACHOWIEC - nie klient] Stolarz. Google Maps: 5 gw. z 26 opinii.</t>
        </is>
      </c>
      <c r="T137" s="11" t="n"/>
    </row>
    <row r="138" ht="22" customHeight="1">
      <c r="A138" s="9">
        <f>IF(C138="","",ROW()-1)</f>
        <v/>
      </c>
      <c r="B138" s="10" t="n">
        <v>46135</v>
      </c>
      <c r="C138" s="11" t="inlineStr">
        <is>
          <t>Stolarnia Dabrowski meble z pasji</t>
        </is>
      </c>
      <c r="D138" s="9" t="inlineStr">
        <is>
          <t>Firmy budowlane</t>
        </is>
      </c>
      <c r="E138" s="9" t="inlineStr">
        <is>
          <t>Sredni (zolty)</t>
        </is>
      </c>
      <c r="F138" s="9" t="n"/>
      <c r="G138" s="11" t="inlineStr">
        <is>
          <t>+48 510 417 611</t>
        </is>
      </c>
      <c r="H138" s="11" t="n"/>
      <c r="I138" s="11" t="n"/>
      <c r="J138" s="11" t="inlineStr">
        <is>
          <t>Stanisława Konarskiego 89</t>
        </is>
      </c>
      <c r="K138" s="11" t="n"/>
      <c r="L138" s="11" t="inlineStr">
        <is>
          <t>Wlasciciel / Fachowiec</t>
        </is>
      </c>
      <c r="M138" s="12" t="n">
        <v>19</v>
      </c>
      <c r="N138" s="13" t="n">
        <v>5</v>
      </c>
      <c r="O138" s="9" t="inlineStr">
        <is>
          <t>Google Maps</t>
        </is>
      </c>
      <c r="P138" s="9" t="inlineStr">
        <is>
          <t>Nowa</t>
        </is>
      </c>
      <c r="Q138" s="10" t="n"/>
      <c r="R138" s="10" t="n"/>
      <c r="S138" s="11" t="inlineStr">
        <is>
          <t>[FACHOWIEC - nie klient] Stolarz. Google Maps: 5 gw. z 19 opinii.</t>
        </is>
      </c>
      <c r="T138" s="11" t="n"/>
    </row>
    <row r="139" ht="22" customHeight="1">
      <c r="A139" s="9">
        <f>IF(C139="","",ROW()-1)</f>
        <v/>
      </c>
      <c r="B139" s="10" t="n">
        <v>46135</v>
      </c>
      <c r="C139" s="11" t="inlineStr">
        <is>
          <t>Dekar-Dach Usługi dekarskie Warszawa</t>
        </is>
      </c>
      <c r="D139" s="9" t="inlineStr">
        <is>
          <t>Firmy budowlane</t>
        </is>
      </c>
      <c r="E139" s="9" t="inlineStr">
        <is>
          <t>TOP (zielony)</t>
        </is>
      </c>
      <c r="F139" s="9" t="n"/>
      <c r="G139" s="11" t="inlineStr">
        <is>
          <t>+48 512 657 657</t>
        </is>
      </c>
      <c r="H139" s="11" t="n"/>
      <c r="I139" s="11" t="n"/>
      <c r="J139" s="11" t="inlineStr">
        <is>
          <t>Dzielna 72</t>
        </is>
      </c>
      <c r="K139" s="11" t="n"/>
      <c r="L139" s="11" t="inlineStr">
        <is>
          <t>Wlasciciel / Fachowiec</t>
        </is>
      </c>
      <c r="M139" s="12" t="n">
        <v>111</v>
      </c>
      <c r="N139" s="13" t="n">
        <v>4.5</v>
      </c>
      <c r="O139" s="9" t="inlineStr">
        <is>
          <t>Google Maps</t>
        </is>
      </c>
      <c r="P139" s="9" t="inlineStr">
        <is>
          <t>Nowa</t>
        </is>
      </c>
      <c r="Q139" s="10" t="n"/>
      <c r="R139" s="10" t="n"/>
      <c r="S139" s="11" t="inlineStr">
        <is>
          <t>[FACHOWIEC - nie klient] Dekarz. Google Maps: 4.5 gw. z 111 opinii.</t>
        </is>
      </c>
      <c r="T139" s="11" t="n"/>
    </row>
    <row r="140" ht="22" customHeight="1">
      <c r="A140" s="9">
        <f>IF(C140="","",ROW()-1)</f>
        <v/>
      </c>
      <c r="B140" s="10" t="n">
        <v>46135</v>
      </c>
      <c r="C140" s="11" t="inlineStr">
        <is>
          <t>SebaDek</t>
        </is>
      </c>
      <c r="D140" s="9" t="inlineStr">
        <is>
          <t>Firmy budowlane</t>
        </is>
      </c>
      <c r="E140" s="9" t="inlineStr">
        <is>
          <t>TOP (zielony)</t>
        </is>
      </c>
      <c r="F140" s="9" t="n"/>
      <c r="G140" s="11" t="inlineStr">
        <is>
          <t>+48 723 816 962</t>
        </is>
      </c>
      <c r="H140" s="11" t="n"/>
      <c r="I140" s="11" t="n"/>
      <c r="J140" s="11" t="inlineStr">
        <is>
          <t>Prochowa 24/26</t>
        </is>
      </c>
      <c r="K140" s="11" t="n"/>
      <c r="L140" s="11" t="inlineStr">
        <is>
          <t>Wlasciciel / Fachowiec</t>
        </is>
      </c>
      <c r="M140" s="12" t="n">
        <v>129</v>
      </c>
      <c r="N140" s="13" t="n">
        <v>4.9</v>
      </c>
      <c r="O140" s="9" t="inlineStr">
        <is>
          <t>Google Maps</t>
        </is>
      </c>
      <c r="P140" s="9" t="inlineStr">
        <is>
          <t>Nowa</t>
        </is>
      </c>
      <c r="Q140" s="10" t="n"/>
      <c r="R140" s="10" t="n"/>
      <c r="S140" s="11" t="inlineStr">
        <is>
          <t>[FACHOWIEC - nie klient] Dekarz. Google Maps: 4.9 gw. z 129 opinii.</t>
        </is>
      </c>
      <c r="T140" s="11" t="n"/>
    </row>
    <row r="141" ht="22" customHeight="1">
      <c r="A141" s="9">
        <f>IF(C141="","",ROW()-1)</f>
        <v/>
      </c>
      <c r="B141" s="10" t="n">
        <v>46135</v>
      </c>
      <c r="C141" s="11" t="inlineStr">
        <is>
          <t>Prow Dach - Solidny dekarz Warszawa Naprawa dachu</t>
        </is>
      </c>
      <c r="D141" s="9" t="inlineStr">
        <is>
          <t>Firmy budowlane</t>
        </is>
      </c>
      <c r="E141" s="9" t="inlineStr">
        <is>
          <t>TOP (zielony)</t>
        </is>
      </c>
      <c r="F141" s="9" t="n"/>
      <c r="G141" s="11" t="inlineStr">
        <is>
          <t>+48 517 739 630</t>
        </is>
      </c>
      <c r="H141" s="11" t="n"/>
      <c r="I141" s="11" t="n"/>
      <c r="J141" s="11" t="inlineStr">
        <is>
          <t>al. Jana Pawła II 43</t>
        </is>
      </c>
      <c r="K141" s="11" t="n"/>
      <c r="L141" s="11" t="inlineStr">
        <is>
          <t>Wlasciciel / Fachowiec</t>
        </is>
      </c>
      <c r="M141" s="12" t="n">
        <v>102</v>
      </c>
      <c r="N141" s="13" t="n">
        <v>5</v>
      </c>
      <c r="O141" s="9" t="inlineStr">
        <is>
          <t>Google Maps</t>
        </is>
      </c>
      <c r="P141" s="9" t="inlineStr">
        <is>
          <t>Nowa</t>
        </is>
      </c>
      <c r="Q141" s="10" t="n"/>
      <c r="R141" s="10" t="n"/>
      <c r="S141" s="11" t="inlineStr">
        <is>
          <t>[FACHOWIEC - nie klient] Dekarz. Google Maps: 5 gw. z 102 opinii.</t>
        </is>
      </c>
      <c r="T141" s="11" t="n"/>
    </row>
    <row r="142" ht="22" customHeight="1">
      <c r="A142" s="9">
        <f>IF(C142="","",ROW()-1)</f>
        <v/>
      </c>
      <c r="B142" s="10" t="n">
        <v>46135</v>
      </c>
      <c r="C142" s="11" t="inlineStr">
        <is>
          <t>Dekarz Warszawa Dach Uslugi Dekarskie</t>
        </is>
      </c>
      <c r="D142" s="9" t="inlineStr">
        <is>
          <t>Firmy budowlane</t>
        </is>
      </c>
      <c r="E142" s="9" t="inlineStr">
        <is>
          <t>TOP (zielony)</t>
        </is>
      </c>
      <c r="F142" s="9" t="n"/>
      <c r="G142" s="11" t="inlineStr">
        <is>
          <t>+48 579 373 712</t>
        </is>
      </c>
      <c r="H142" s="11" t="n"/>
      <c r="I142" s="11" t="n"/>
      <c r="J142" s="11" t="inlineStr">
        <is>
          <t>Obywatelska 5</t>
        </is>
      </c>
      <c r="K142" s="11" t="n"/>
      <c r="L142" s="11" t="inlineStr">
        <is>
          <t>Wlasciciel / Fachowiec</t>
        </is>
      </c>
      <c r="M142" s="12" t="n">
        <v>32</v>
      </c>
      <c r="N142" s="13" t="n">
        <v>4.8</v>
      </c>
      <c r="O142" s="9" t="inlineStr">
        <is>
          <t>Google Maps</t>
        </is>
      </c>
      <c r="P142" s="9" t="inlineStr">
        <is>
          <t>Nowa</t>
        </is>
      </c>
      <c r="Q142" s="10" t="n"/>
      <c r="R142" s="10" t="n"/>
      <c r="S142" s="11" t="inlineStr">
        <is>
          <t>[FACHOWIEC - nie klient] Dekarz. Google Maps: 4.8 gw. z 32 opinii.</t>
        </is>
      </c>
      <c r="T142" s="11" t="n"/>
    </row>
    <row r="143" ht="22" customHeight="1">
      <c r="A143" s="9">
        <f>IF(C143="","",ROW()-1)</f>
        <v/>
      </c>
      <c r="B143" s="10" t="n">
        <v>46135</v>
      </c>
      <c r="C143" s="11" t="inlineStr">
        <is>
          <t>Dach-Mistrz Dekarz Warszawa, Dachy Warszawa, Pogotowie Dachowe</t>
        </is>
      </c>
      <c r="D143" s="9" t="inlineStr">
        <is>
          <t>Firmy budowlane</t>
        </is>
      </c>
      <c r="E143" s="9" t="inlineStr">
        <is>
          <t>TOP (zielony)</t>
        </is>
      </c>
      <c r="F143" s="9" t="n"/>
      <c r="G143" s="11" t="inlineStr">
        <is>
          <t>+48 505 061 903</t>
        </is>
      </c>
      <c r="H143" s="11" t="n"/>
      <c r="I143" s="11" t="n"/>
      <c r="J143" s="11" t="inlineStr">
        <is>
          <t>Stalowa 7</t>
        </is>
      </c>
      <c r="K143" s="11" t="n"/>
      <c r="L143" s="11" t="inlineStr">
        <is>
          <t>Wlasciciel / Fachowiec</t>
        </is>
      </c>
      <c r="M143" s="12" t="n">
        <v>31</v>
      </c>
      <c r="N143" s="13" t="n">
        <v>4.5</v>
      </c>
      <c r="O143" s="9" t="inlineStr">
        <is>
          <t>Google Maps</t>
        </is>
      </c>
      <c r="P143" s="9" t="inlineStr">
        <is>
          <t>Nowa</t>
        </is>
      </c>
      <c r="Q143" s="10" t="n"/>
      <c r="R143" s="10" t="n"/>
      <c r="S143" s="11" t="inlineStr">
        <is>
          <t>[FACHOWIEC - nie klient] Dekarz. Google Maps: 4.5 gw. z 31 opinii.</t>
        </is>
      </c>
      <c r="T143" s="11" t="n"/>
    </row>
    <row r="144" ht="22" customHeight="1">
      <c r="A144" s="9">
        <f>IF(C144="","",ROW()-1)</f>
        <v/>
      </c>
      <c r="B144" s="10" t="n">
        <v>46135</v>
      </c>
      <c r="C144" s="11" t="inlineStr">
        <is>
          <t>DAB-POL Adam Dabrowski</t>
        </is>
      </c>
      <c r="D144" s="9" t="inlineStr">
        <is>
          <t>Firmy budowlane</t>
        </is>
      </c>
      <c r="E144" s="9" t="inlineStr">
        <is>
          <t>TOP (zielony)</t>
        </is>
      </c>
      <c r="F144" s="9" t="n"/>
      <c r="G144" s="11" t="inlineStr">
        <is>
          <t>+48 607 440 837</t>
        </is>
      </c>
      <c r="H144" s="11" t="n"/>
      <c r="I144" s="11" t="n"/>
      <c r="J144" s="11" t="inlineStr">
        <is>
          <t>Aksamitna 1A</t>
        </is>
      </c>
      <c r="K144" s="11" t="n"/>
      <c r="L144" s="11" t="inlineStr">
        <is>
          <t>Wlasciciel / Fachowiec</t>
        </is>
      </c>
      <c r="M144" s="12" t="n">
        <v>32</v>
      </c>
      <c r="N144" s="13" t="n">
        <v>4.9</v>
      </c>
      <c r="O144" s="9" t="inlineStr">
        <is>
          <t>Google Maps</t>
        </is>
      </c>
      <c r="P144" s="9" t="inlineStr">
        <is>
          <t>Nowa</t>
        </is>
      </c>
      <c r="Q144" s="10" t="n"/>
      <c r="R144" s="10" t="n"/>
      <c r="S144" s="11" t="inlineStr">
        <is>
          <t>[FACHOWIEC - nie klient] Dekarz. Google Maps: 4.9 gw. z 32 opinii.</t>
        </is>
      </c>
      <c r="T144" s="11" t="n"/>
    </row>
    <row r="145" ht="22" customHeight="1">
      <c r="A145" s="9">
        <f>IF(C145="","",ROW()-1)</f>
        <v/>
      </c>
      <c r="B145" s="10" t="n">
        <v>46135</v>
      </c>
      <c r="C145" s="11" t="inlineStr">
        <is>
          <t>Dekarz Warszawa- Usługi dekarskie</t>
        </is>
      </c>
      <c r="D145" s="9" t="inlineStr">
        <is>
          <t>Firmy budowlane</t>
        </is>
      </c>
      <c r="E145" s="9" t="inlineStr">
        <is>
          <t>Niski (czerwony)</t>
        </is>
      </c>
      <c r="F145" s="9" t="n"/>
      <c r="G145" s="11" t="inlineStr">
        <is>
          <t>+48 737 805 800</t>
        </is>
      </c>
      <c r="H145" s="11" t="n"/>
      <c r="I145" s="11" t="n"/>
      <c r="J145" s="11" t="inlineStr">
        <is>
          <t>Siostr Biendarzewskich 4</t>
        </is>
      </c>
      <c r="K145" s="11" t="n"/>
      <c r="L145" s="11" t="inlineStr">
        <is>
          <t>Wlasciciel / Fachowiec</t>
        </is>
      </c>
      <c r="M145" s="12" t="n">
        <v>3</v>
      </c>
      <c r="N145" s="13" t="n">
        <v>5</v>
      </c>
      <c r="O145" s="9" t="inlineStr">
        <is>
          <t>Google Maps</t>
        </is>
      </c>
      <c r="P145" s="9" t="inlineStr">
        <is>
          <t>Nowa</t>
        </is>
      </c>
      <c r="Q145" s="10" t="n"/>
      <c r="R145" s="10" t="n"/>
      <c r="S145" s="11" t="inlineStr">
        <is>
          <t>[FACHOWIEC - nie klient] Dekarz. Google Maps: 5 gw. z 3 opinii.</t>
        </is>
      </c>
      <c r="T145" s="11" t="n"/>
    </row>
    <row r="146" ht="22" customHeight="1">
      <c r="A146" s="9">
        <f>IF(C146="","",ROW()-1)</f>
        <v/>
      </c>
      <c r="B146" s="10" t="n">
        <v>46135</v>
      </c>
      <c r="C146" s="11" t="inlineStr">
        <is>
          <t>Cyklinowanie Warszawa Dobry-Parkieciarz.pl</t>
        </is>
      </c>
      <c r="D146" s="9" t="inlineStr">
        <is>
          <t>Firmy budowlane</t>
        </is>
      </c>
      <c r="E146" s="9" t="inlineStr">
        <is>
          <t>TOP (zielony)</t>
        </is>
      </c>
      <c r="F146" s="9" t="n"/>
      <c r="G146" s="11" t="inlineStr">
        <is>
          <t>+48 519 147 554</t>
        </is>
      </c>
      <c r="H146" s="11" t="n"/>
      <c r="I146" s="11" t="n"/>
      <c r="J146" s="11" t="inlineStr">
        <is>
          <t>Szwolezerow 7/36</t>
        </is>
      </c>
      <c r="K146" s="11" t="n"/>
      <c r="L146" s="11" t="inlineStr">
        <is>
          <t>Wlasciciel / Fachowiec</t>
        </is>
      </c>
      <c r="M146" s="12" t="n">
        <v>66</v>
      </c>
      <c r="N146" s="13" t="n">
        <v>4.6</v>
      </c>
      <c r="O146" s="9" t="inlineStr">
        <is>
          <t>Google Maps</t>
        </is>
      </c>
      <c r="P146" s="9" t="inlineStr">
        <is>
          <t>Nowa</t>
        </is>
      </c>
      <c r="Q146" s="10" t="n"/>
      <c r="R146" s="10" t="n"/>
      <c r="S146" s="11" t="inlineStr">
        <is>
          <t>[FACHOWIEC - nie klient] Parkieciarz. Google Maps: 4.6 gw. z 66 opinii.</t>
        </is>
      </c>
      <c r="T146" s="11" t="n"/>
    </row>
    <row r="147" ht="22" customHeight="1">
      <c r="A147" s="9">
        <f>IF(C147="","",ROW()-1)</f>
        <v/>
      </c>
      <c r="B147" s="10" t="n">
        <v>46135</v>
      </c>
      <c r="C147" s="11" t="inlineStr">
        <is>
          <t>Parkieciarz</t>
        </is>
      </c>
      <c r="D147" s="9" t="inlineStr">
        <is>
          <t>Firmy budowlane</t>
        </is>
      </c>
      <c r="E147" s="9" t="inlineStr">
        <is>
          <t>Niski (czerwony)</t>
        </is>
      </c>
      <c r="F147" s="9" t="n"/>
      <c r="G147" s="11" t="inlineStr">
        <is>
          <t>+48 609 370 990</t>
        </is>
      </c>
      <c r="H147" s="11" t="n"/>
      <c r="I147" s="11" t="n"/>
      <c r="J147" s="11" t="inlineStr">
        <is>
          <t>Suwalska 38/84</t>
        </is>
      </c>
      <c r="K147" s="11" t="n"/>
      <c r="L147" s="11" t="inlineStr">
        <is>
          <t>Wlasciciel / Fachowiec</t>
        </is>
      </c>
      <c r="M147" s="12" t="n">
        <v>13</v>
      </c>
      <c r="N147" s="13" t="n">
        <v>3.5</v>
      </c>
      <c r="O147" s="9" t="inlineStr">
        <is>
          <t>Google Maps</t>
        </is>
      </c>
      <c r="P147" s="9" t="inlineStr">
        <is>
          <t>Nowa</t>
        </is>
      </c>
      <c r="Q147" s="10" t="n"/>
      <c r="R147" s="10" t="n"/>
      <c r="S147" s="11" t="inlineStr">
        <is>
          <t>[FACHOWIEC - nie klient] Parkieciarz. Google Maps: 3.5 gw. z 13 opinii.</t>
        </is>
      </c>
      <c r="T147" s="11" t="n"/>
    </row>
    <row r="148" ht="22" customHeight="1">
      <c r="A148" s="9">
        <f>IF(C148="","",ROW()-1)</f>
        <v/>
      </c>
      <c r="B148" s="10" t="n">
        <v>46135</v>
      </c>
      <c r="C148" s="11" t="inlineStr">
        <is>
          <t>Tynki gipsowe</t>
        </is>
      </c>
      <c r="D148" s="9" t="inlineStr">
        <is>
          <t>Firmy budowlane</t>
        </is>
      </c>
      <c r="E148" s="9" t="inlineStr">
        <is>
          <t>Niski (czerwony)</t>
        </is>
      </c>
      <c r="F148" s="9" t="n"/>
      <c r="G148" s="11" t="inlineStr">
        <is>
          <t>+48 730 372 452</t>
        </is>
      </c>
      <c r="H148" s="11" t="n"/>
      <c r="I148" s="11" t="n"/>
      <c r="J148" s="11" t="inlineStr">
        <is>
          <t>al. Niepodległosci</t>
        </is>
      </c>
      <c r="K148" s="11" t="n"/>
      <c r="L148" s="11" t="inlineStr">
        <is>
          <t>Wlasciciel / Fachowiec</t>
        </is>
      </c>
      <c r="M148" s="12" t="n">
        <v>2</v>
      </c>
      <c r="N148" s="13" t="n">
        <v>1</v>
      </c>
      <c r="O148" s="9" t="inlineStr">
        <is>
          <t>Google Maps</t>
        </is>
      </c>
      <c r="P148" s="9" t="inlineStr">
        <is>
          <t>Nowa</t>
        </is>
      </c>
      <c r="Q148" s="10" t="n"/>
      <c r="R148" s="10" t="n"/>
      <c r="S148" s="11" t="inlineStr">
        <is>
          <t>[FACHOWIEC - nie klient] Tynkarz. Google Maps: 1 gw. z 2 opinii.</t>
        </is>
      </c>
      <c r="T148" s="11" t="n"/>
    </row>
    <row r="149" ht="22" customHeight="1">
      <c r="A149" s="9">
        <f>IF(C149="","",ROW()-1)</f>
        <v/>
      </c>
      <c r="B149" s="10" t="n">
        <v>46135</v>
      </c>
      <c r="C149" s="11" t="inlineStr">
        <is>
          <t>Tynki dekoracyjne</t>
        </is>
      </c>
      <c r="D149" s="9" t="inlineStr">
        <is>
          <t>Firmy budowlane</t>
        </is>
      </c>
      <c r="E149" s="9" t="inlineStr">
        <is>
          <t>Niski (czerwony)</t>
        </is>
      </c>
      <c r="F149" s="9" t="n"/>
      <c r="G149" s="11" t="inlineStr">
        <is>
          <t>+48 512 296 464</t>
        </is>
      </c>
      <c r="H149" s="11" t="n"/>
      <c r="I149" s="11" t="n"/>
      <c r="J149" s="11" t="inlineStr">
        <is>
          <t>Al. Solidarnosci 71</t>
        </is>
      </c>
      <c r="K149" s="11" t="n"/>
      <c r="L149" s="11" t="inlineStr">
        <is>
          <t>Wlasciciel / Fachowiec</t>
        </is>
      </c>
      <c r="M149" s="12" t="n">
        <v>1</v>
      </c>
      <c r="N149" s="13" t="n">
        <v>1</v>
      </c>
      <c r="O149" s="9" t="inlineStr">
        <is>
          <t>Google Maps</t>
        </is>
      </c>
      <c r="P149" s="9" t="inlineStr">
        <is>
          <t>Nowa</t>
        </is>
      </c>
      <c r="Q149" s="10" t="n"/>
      <c r="R149" s="10" t="n"/>
      <c r="S149" s="11" t="inlineStr">
        <is>
          <t>[FACHOWIEC - nie klient] Tynkarz. Google Maps: 1 gw. z 1 opinii.</t>
        </is>
      </c>
      <c r="T149" s="11" t="n"/>
    </row>
    <row r="150" ht="22" customHeight="1">
      <c r="A150" s="9">
        <f>IF(C150="","",ROW()-1)</f>
        <v/>
      </c>
      <c r="B150" s="10" t="n">
        <v>46135</v>
      </c>
      <c r="C150" s="11" t="inlineStr">
        <is>
          <t>DAM-BUD DAMIAN BEDKOWSKI</t>
        </is>
      </c>
      <c r="D150" s="9" t="inlineStr">
        <is>
          <t>Firmy budowlane</t>
        </is>
      </c>
      <c r="E150" s="9" t="inlineStr">
        <is>
          <t>Sredni (zolty)</t>
        </is>
      </c>
      <c r="F150" s="9" t="n"/>
      <c r="G150" s="11" t="inlineStr">
        <is>
          <t>+48 507 962 828</t>
        </is>
      </c>
      <c r="H150" s="11" t="n"/>
      <c r="I150" s="11" t="n"/>
      <c r="J150" s="11" t="inlineStr">
        <is>
          <t>Sucharskiego 8/40</t>
        </is>
      </c>
      <c r="K150" s="11" t="n"/>
      <c r="L150" s="11" t="inlineStr">
        <is>
          <t>Wlasciciel / Fachowiec</t>
        </is>
      </c>
      <c r="M150" s="12" t="n">
        <v>5</v>
      </c>
      <c r="N150" s="13" t="n">
        <v>5</v>
      </c>
      <c r="O150" s="9" t="inlineStr">
        <is>
          <t>Google Maps</t>
        </is>
      </c>
      <c r="P150" s="9" t="inlineStr">
        <is>
          <t>Nowa</t>
        </is>
      </c>
      <c r="Q150" s="10" t="n"/>
      <c r="R150" s="10" t="n"/>
      <c r="S150" s="11" t="inlineStr">
        <is>
          <t>[FACHOWIEC - nie klient] Tynkarz. Google Maps: 5 gw. z 5 opinii.</t>
        </is>
      </c>
      <c r="T150" s="11" t="n"/>
    </row>
    <row r="151" ht="22" customHeight="1">
      <c r="A151" s="9">
        <f>IF(C151="","",ROW()-1)</f>
        <v/>
      </c>
      <c r="B151" s="10" t="n">
        <v>46135</v>
      </c>
      <c r="C151" s="11" t="inlineStr">
        <is>
          <t>BMB Technologie - Agregaty Malarskie, Tynkarskie i Posadzkarskie</t>
        </is>
      </c>
      <c r="D151" s="9" t="inlineStr">
        <is>
          <t>Firmy budowlane</t>
        </is>
      </c>
      <c r="E151" s="9" t="inlineStr">
        <is>
          <t>TOP (zielony)</t>
        </is>
      </c>
      <c r="F151" s="9" t="n"/>
      <c r="G151" s="11" t="inlineStr">
        <is>
          <t>+48 22 392 71 90</t>
        </is>
      </c>
      <c r="H151" s="11" t="n"/>
      <c r="I151" s="11" t="n"/>
      <c r="J151" s="11" t="inlineStr">
        <is>
          <t> · Modlinska 205</t>
        </is>
      </c>
      <c r="K151" s="11" t="n"/>
      <c r="L151" s="11" t="inlineStr">
        <is>
          <t>Wlasciciel / Fachowiec</t>
        </is>
      </c>
      <c r="M151" s="12" t="n">
        <v>158</v>
      </c>
      <c r="N151" s="13" t="n">
        <v>4.7</v>
      </c>
      <c r="O151" s="9" t="inlineStr">
        <is>
          <t>Google Maps</t>
        </is>
      </c>
      <c r="P151" s="9" t="inlineStr">
        <is>
          <t>Nowa</t>
        </is>
      </c>
      <c r="Q151" s="10" t="n"/>
      <c r="R151" s="10" t="n"/>
      <c r="S151" s="11" t="inlineStr">
        <is>
          <t>[FACHOWIEC - nie klient] Tynkarz. Google Maps: 4.7 gw. z 158 opinii.</t>
        </is>
      </c>
      <c r="T151" s="11" t="n"/>
    </row>
    <row r="152" ht="22" customHeight="1">
      <c r="A152" s="9">
        <f>IF(C152="","",ROW()-1)</f>
        <v/>
      </c>
      <c r="B152" s="10" t="n">
        <v>46135</v>
      </c>
      <c r="C152" s="11" t="inlineStr">
        <is>
          <t>Brukarz Plus - Usługi brukarskie premium</t>
        </is>
      </c>
      <c r="D152" s="9" t="inlineStr">
        <is>
          <t>Firmy budowlane</t>
        </is>
      </c>
      <c r="E152" s="9" t="inlineStr">
        <is>
          <t>TOP (zielony)</t>
        </is>
      </c>
      <c r="F152" s="9" t="n"/>
      <c r="G152" s="11" t="inlineStr">
        <is>
          <t>+48 609 199 902</t>
        </is>
      </c>
      <c r="H152" s="11" t="n"/>
      <c r="I152" s="11" t="n"/>
      <c r="J152" s="11" t="inlineStr">
        <is>
          <t>Dywizjonu 303 149b/35</t>
        </is>
      </c>
      <c r="K152" s="11" t="n"/>
      <c r="L152" s="11" t="inlineStr">
        <is>
          <t>Wlasciciel / Fachowiec</t>
        </is>
      </c>
      <c r="M152" s="12" t="n">
        <v>41</v>
      </c>
      <c r="N152" s="13" t="n">
        <v>4.8</v>
      </c>
      <c r="O152" s="9" t="inlineStr">
        <is>
          <t>Google Maps</t>
        </is>
      </c>
      <c r="P152" s="9" t="inlineStr">
        <is>
          <t>Nowa</t>
        </is>
      </c>
      <c r="Q152" s="10" t="n"/>
      <c r="R152" s="10" t="n"/>
      <c r="S152" s="11" t="inlineStr">
        <is>
          <t>[FACHOWIEC - nie klient] Brukarz. Google Maps: 4.8 gw. z 41 opinii.</t>
        </is>
      </c>
      <c r="T152" s="11" t="n"/>
    </row>
    <row r="153" ht="22" customHeight="1">
      <c r="A153" s="9">
        <f>IF(C153="","",ROW()-1)</f>
        <v/>
      </c>
      <c r="B153" s="10" t="n">
        <v>46135</v>
      </c>
      <c r="C153" s="11" t="inlineStr">
        <is>
          <t>Warszawski Brukarz | Układanie i sprzedaz kostki: betonowej i granitowej. Transport HDS oraz kregi betonowe.</t>
        </is>
      </c>
      <c r="D153" s="9" t="inlineStr">
        <is>
          <t>Firmy budowlane</t>
        </is>
      </c>
      <c r="E153" s="9" t="inlineStr">
        <is>
          <t>TOP (zielony)</t>
        </is>
      </c>
      <c r="F153" s="9" t="n"/>
      <c r="G153" s="11" t="inlineStr">
        <is>
          <t>+48 608 557 454</t>
        </is>
      </c>
      <c r="H153" s="11" t="n"/>
      <c r="I153" s="11" t="n"/>
      <c r="J153" s="11" t="inlineStr">
        <is>
          <t>Potrzebna 45</t>
        </is>
      </c>
      <c r="K153" s="11" t="n"/>
      <c r="L153" s="11" t="inlineStr">
        <is>
          <t>Wlasciciel / Fachowiec</t>
        </is>
      </c>
      <c r="M153" s="12" t="n">
        <v>50</v>
      </c>
      <c r="N153" s="13" t="n">
        <v>4.8</v>
      </c>
      <c r="O153" s="9" t="inlineStr">
        <is>
          <t>Google Maps</t>
        </is>
      </c>
      <c r="P153" s="9" t="inlineStr">
        <is>
          <t>Nowa</t>
        </is>
      </c>
      <c r="Q153" s="10" t="n"/>
      <c r="R153" s="10" t="n"/>
      <c r="S153" s="11" t="inlineStr">
        <is>
          <t>[FACHOWIEC - nie klient] Brukarz. Google Maps: 4.8 gw. z 50 opinii.</t>
        </is>
      </c>
      <c r="T153" s="11" t="n"/>
    </row>
    <row r="154" ht="22" customHeight="1">
      <c r="A154" s="9">
        <f>IF(C154="","",ROW()-1)</f>
        <v/>
      </c>
      <c r="B154" s="10" t="n">
        <v>46135</v>
      </c>
      <c r="C154" s="11" t="inlineStr">
        <is>
          <t xml:space="preserve"> ZAMKOWE Milena Wach, Slusarz Warszawa Licencja Policji, otwieranie drzwi, zamkow, wymiana zamkow Serwis Gerda</t>
        </is>
      </c>
      <c r="D154" s="9" t="inlineStr">
        <is>
          <t>Firmy budowlane</t>
        </is>
      </c>
      <c r="E154" s="9" t="inlineStr">
        <is>
          <t>TOP (zielony)</t>
        </is>
      </c>
      <c r="F154" s="9" t="n"/>
      <c r="G154" s="11" t="inlineStr">
        <is>
          <t>+48 507 121 212</t>
        </is>
      </c>
      <c r="H154" s="11" t="n"/>
      <c r="I154" s="11" t="n"/>
      <c r="J154" s="11" t="inlineStr">
        <is>
          <t> · al. Niepodległosci 245/lok.19</t>
        </is>
      </c>
      <c r="K154" s="11" t="n"/>
      <c r="L154" s="11" t="inlineStr">
        <is>
          <t>Wlasciciel / Fachowiec</t>
        </is>
      </c>
      <c r="M154" s="12" t="n">
        <v>350</v>
      </c>
      <c r="N154" s="13" t="n">
        <v>4.8</v>
      </c>
      <c r="O154" s="9" t="inlineStr">
        <is>
          <t>Google Maps</t>
        </is>
      </c>
      <c r="P154" s="9" t="inlineStr">
        <is>
          <t>Nowa</t>
        </is>
      </c>
      <c r="Q154" s="10" t="n"/>
      <c r="R154" s="10" t="n"/>
      <c r="S154" s="11" t="inlineStr">
        <is>
          <t>[FACHOWIEC - nie klient] Slusarz. Google Maps: 4.8 gw. z 350 opinii.</t>
        </is>
      </c>
      <c r="T154" s="11" t="n"/>
    </row>
    <row r="155" ht="22" customHeight="1">
      <c r="A155" s="9">
        <f>IF(C155="","",ROW()-1)</f>
        <v/>
      </c>
      <c r="B155" s="10" t="n">
        <v>46135</v>
      </c>
      <c r="C155" s="11" t="inlineStr">
        <is>
          <t>POGOTOWIE ZAMKOWE Warszawa, slusarz - Awaryjne otwieranie samochodow i mieszkan, wymiana zamka</t>
        </is>
      </c>
      <c r="D155" s="9" t="inlineStr">
        <is>
          <t>Firmy budowlane</t>
        </is>
      </c>
      <c r="E155" s="9" t="inlineStr">
        <is>
          <t>TOP (zielony)</t>
        </is>
      </c>
      <c r="F155" s="9" t="n"/>
      <c r="G155" s="11" t="inlineStr">
        <is>
          <t>+48 784 799 733</t>
        </is>
      </c>
      <c r="H155" s="11" t="n"/>
      <c r="I155" s="11" t="n"/>
      <c r="J155" s="11" t="inlineStr">
        <is>
          <t> · Litewska 10</t>
        </is>
      </c>
      <c r="K155" s="11" t="n"/>
      <c r="L155" s="11" t="inlineStr">
        <is>
          <t>Wlasciciel / Fachowiec</t>
        </is>
      </c>
      <c r="M155" s="12" t="n">
        <v>158</v>
      </c>
      <c r="N155" s="13" t="n">
        <v>4.9</v>
      </c>
      <c r="O155" s="9" t="inlineStr">
        <is>
          <t>Google Maps</t>
        </is>
      </c>
      <c r="P155" s="9" t="inlineStr">
        <is>
          <t>Nowa</t>
        </is>
      </c>
      <c r="Q155" s="10" t="n"/>
      <c r="R155" s="10" t="n"/>
      <c r="S155" s="11" t="inlineStr">
        <is>
          <t>[FACHOWIEC - nie klient] Slusarz. Google Maps: 4.9 gw. z 158 opinii.</t>
        </is>
      </c>
      <c r="T155" s="11" t="n"/>
    </row>
    <row r="156" ht="22" customHeight="1">
      <c r="A156" s="9">
        <f>IF(C156="","",ROW()-1)</f>
        <v/>
      </c>
      <c r="B156" s="10" t="n">
        <v>46135</v>
      </c>
      <c r="C156" s="11" t="inlineStr">
        <is>
          <t>🥇 Pogotowie Zamkowe 24H - Wymiana Zamkow Warszawa</t>
        </is>
      </c>
      <c r="D156" s="9" t="inlineStr">
        <is>
          <t>Firmy budowlane</t>
        </is>
      </c>
      <c r="E156" s="9" t="inlineStr">
        <is>
          <t>TOP (zielony)</t>
        </is>
      </c>
      <c r="F156" s="9" t="n"/>
      <c r="G156" s="11" t="inlineStr">
        <is>
          <t>+48 505 424 720</t>
        </is>
      </c>
      <c r="H156" s="11" t="n"/>
      <c r="I156" s="11" t="n"/>
      <c r="J156" s="11" t="inlineStr">
        <is>
          <t>Włodarzewska 57</t>
        </is>
      </c>
      <c r="K156" s="11" t="n"/>
      <c r="L156" s="11" t="inlineStr">
        <is>
          <t>Wlasciciel / Fachowiec</t>
        </is>
      </c>
      <c r="M156" s="12" t="n">
        <v>210</v>
      </c>
      <c r="N156" s="13" t="n">
        <v>5</v>
      </c>
      <c r="O156" s="9" t="inlineStr">
        <is>
          <t>Google Maps</t>
        </is>
      </c>
      <c r="P156" s="9" t="inlineStr">
        <is>
          <t>Nowa</t>
        </is>
      </c>
      <c r="Q156" s="10" t="n"/>
      <c r="R156" s="10" t="n"/>
      <c r="S156" s="11" t="inlineStr">
        <is>
          <t>[FACHOWIEC - nie klient] Slusarz. Google Maps: 5 gw. z 210 opinii.</t>
        </is>
      </c>
      <c r="T156" s="11" t="n"/>
    </row>
    <row r="157" ht="22" customHeight="1">
      <c r="A157" s="9">
        <f>IF(C157="","",ROW()-1)</f>
        <v/>
      </c>
      <c r="B157" s="10" t="n">
        <v>46135</v>
      </c>
      <c r="C157" s="11" t="inlineStr">
        <is>
          <t>LOCKSTAR Pogotowie zamkowe - Slusarz Warszawa</t>
        </is>
      </c>
      <c r="D157" s="9" t="inlineStr">
        <is>
          <t>Firmy budowlane</t>
        </is>
      </c>
      <c r="E157" s="9" t="inlineStr">
        <is>
          <t>TOP (zielony)</t>
        </is>
      </c>
      <c r="F157" s="9" t="n"/>
      <c r="G157" s="11" t="inlineStr">
        <is>
          <t>+48 690 690 488</t>
        </is>
      </c>
      <c r="H157" s="11" t="n"/>
      <c r="I157" s="11" t="n"/>
      <c r="J157" s="11" t="inlineStr">
        <is>
          <t>Zabkowska 23/25 lok. 80</t>
        </is>
      </c>
      <c r="K157" s="11" t="n"/>
      <c r="L157" s="11" t="inlineStr">
        <is>
          <t>Wlasciciel / Fachowiec</t>
        </is>
      </c>
      <c r="M157" s="12" t="n">
        <v>36</v>
      </c>
      <c r="N157" s="13" t="n">
        <v>5</v>
      </c>
      <c r="O157" s="9" t="inlineStr">
        <is>
          <t>Google Maps</t>
        </is>
      </c>
      <c r="P157" s="9" t="inlineStr">
        <is>
          <t>Nowa</t>
        </is>
      </c>
      <c r="Q157" s="10" t="n"/>
      <c r="R157" s="10" t="n"/>
      <c r="S157" s="11" t="inlineStr">
        <is>
          <t>[FACHOWIEC - nie klient] Slusarz. Google Maps: 5 gw. z 36 opinii.</t>
        </is>
      </c>
      <c r="T157" s="11" t="n"/>
    </row>
    <row r="158" ht="22" customHeight="1">
      <c r="A158" s="9">
        <f>IF(C158="","",ROW()-1)</f>
        <v/>
      </c>
      <c r="B158" s="10" t="n">
        <v>46135</v>
      </c>
      <c r="C158" s="11" t="inlineStr">
        <is>
          <t>Slusarz Warszawa - Awaryjne Otwieranie Samochodu, Wymiana, Montaz zamkow i drzwi</t>
        </is>
      </c>
      <c r="D158" s="9" t="inlineStr">
        <is>
          <t>Firmy budowlane</t>
        </is>
      </c>
      <c r="E158" s="9" t="inlineStr">
        <is>
          <t>TOP (zielony)</t>
        </is>
      </c>
      <c r="F158" s="9" t="n"/>
      <c r="G158" s="11" t="inlineStr">
        <is>
          <t>+48 500 692 600</t>
        </is>
      </c>
      <c r="H158" s="11" t="n"/>
      <c r="I158" s="11" t="n"/>
      <c r="J158" s="11" t="inlineStr">
        <is>
          <t>Al. Jerozolimskie 214</t>
        </is>
      </c>
      <c r="K158" s="11" t="n"/>
      <c r="L158" s="11" t="inlineStr">
        <is>
          <t>Wlasciciel / Fachowiec</t>
        </is>
      </c>
      <c r="M158" s="12" t="n">
        <v>163</v>
      </c>
      <c r="N158" s="13" t="n">
        <v>5</v>
      </c>
      <c r="O158" s="9" t="inlineStr">
        <is>
          <t>Google Maps</t>
        </is>
      </c>
      <c r="P158" s="9" t="inlineStr">
        <is>
          <t>Nowa</t>
        </is>
      </c>
      <c r="Q158" s="10" t="n"/>
      <c r="R158" s="10" t="n"/>
      <c r="S158" s="11" t="inlineStr">
        <is>
          <t>[FACHOWIEC - nie klient] Slusarz. Google Maps: 5 gw. z 163 opinii.</t>
        </is>
      </c>
      <c r="T158" s="11" t="n"/>
    </row>
    <row r="159" ht="22" customHeight="1">
      <c r="A159" s="9">
        <f>IF(C159="","",ROW()-1)</f>
        <v/>
      </c>
      <c r="B159" s="10" t="n">
        <v>46135</v>
      </c>
      <c r="C159" s="11" t="inlineStr">
        <is>
          <t>rszawa - Pogotowie slusarskie, otwieranie samochodu, drzwi, montaz wymiana zamkow naprawa, Gerda serwis,Dierre</t>
        </is>
      </c>
      <c r="D159" s="9" t="inlineStr">
        <is>
          <t>Firmy budowlane</t>
        </is>
      </c>
      <c r="E159" s="9" t="inlineStr">
        <is>
          <t>TOP (zielony)</t>
        </is>
      </c>
      <c r="F159" s="9" t="n"/>
      <c r="G159" s="11" t="inlineStr">
        <is>
          <t>+48 503 505 508</t>
        </is>
      </c>
      <c r="H159" s="11" t="n"/>
      <c r="I159" s="11" t="n"/>
      <c r="J159" s="11" t="inlineStr">
        <is>
          <t> · Adama Branickiego 18</t>
        </is>
      </c>
      <c r="K159" s="11" t="n"/>
      <c r="L159" s="11" t="inlineStr">
        <is>
          <t>Wlasciciel / Fachowiec</t>
        </is>
      </c>
      <c r="M159" s="12" t="n">
        <v>115</v>
      </c>
      <c r="N159" s="13" t="n">
        <v>4.9</v>
      </c>
      <c r="O159" s="9" t="inlineStr">
        <is>
          <t>Google Maps</t>
        </is>
      </c>
      <c r="P159" s="9" t="inlineStr">
        <is>
          <t>Nowa</t>
        </is>
      </c>
      <c r="Q159" s="10" t="n"/>
      <c r="R159" s="10" t="n"/>
      <c r="S159" s="11" t="inlineStr">
        <is>
          <t>[FACHOWIEC - nie klient] Slusarz. Google Maps: 4.9 gw. z 115 opinii.</t>
        </is>
      </c>
      <c r="T159" s="11" t="n"/>
    </row>
    <row r="160" ht="22" customHeight="1">
      <c r="A160" s="9">
        <f>IF(C160="","",ROW()-1)</f>
        <v/>
      </c>
      <c r="B160" s="10" t="n">
        <v>46135</v>
      </c>
      <c r="C160" s="11" t="inlineStr">
        <is>
          <t>ZABEZPIECZAMY24 - Alarmy / Kamery / Monitoring</t>
        </is>
      </c>
      <c r="D160" s="9" t="inlineStr">
        <is>
          <t>Firmy budowlane</t>
        </is>
      </c>
      <c r="E160" s="9" t="inlineStr">
        <is>
          <t>TOP (zielony)</t>
        </is>
      </c>
      <c r="F160" s="9" t="n"/>
      <c r="G160" s="11" t="inlineStr">
        <is>
          <t>+48 600 500 355</t>
        </is>
      </c>
      <c r="H160" s="11" t="n"/>
      <c r="I160" s="11" t="n"/>
      <c r="J160" s="11" t="inlineStr">
        <is>
          <t>Grzybowa 5</t>
        </is>
      </c>
      <c r="K160" s="11" t="n"/>
      <c r="L160" s="11" t="inlineStr">
        <is>
          <t>Wlasciciel / Fachowiec</t>
        </is>
      </c>
      <c r="M160" s="12" t="n">
        <v>56</v>
      </c>
      <c r="N160" s="13" t="n">
        <v>5</v>
      </c>
      <c r="O160" s="9" t="inlineStr">
        <is>
          <t>Google Maps</t>
        </is>
      </c>
      <c r="P160" s="9" t="inlineStr">
        <is>
          <t>Nowa</t>
        </is>
      </c>
      <c r="Q160" s="10" t="n"/>
      <c r="R160" s="10" t="n"/>
      <c r="S160" s="11" t="inlineStr">
        <is>
          <t>[FACHOWIEC - nie klient] Alarmy / monitoring. Google Maps: 5 gw. z 56 opinii.</t>
        </is>
      </c>
      <c r="T160" s="11" t="n"/>
    </row>
    <row r="161" ht="22" customHeight="1">
      <c r="A161" s="9">
        <f>IF(C161="","",ROW()-1)</f>
        <v/>
      </c>
      <c r="B161" s="10" t="n">
        <v>46135</v>
      </c>
      <c r="C161" s="11" t="inlineStr">
        <is>
          <t>Eltrox Warszawa Włochy - Monitoring Alarmy Wideodomofony Kamery</t>
        </is>
      </c>
      <c r="D161" s="9" t="inlineStr">
        <is>
          <t>Firmy budowlane</t>
        </is>
      </c>
      <c r="E161" s="9" t="inlineStr">
        <is>
          <t>TOP (zielony)</t>
        </is>
      </c>
      <c r="F161" s="9" t="n"/>
      <c r="G161" s="11" t="inlineStr">
        <is>
          <t>+48 22 102 17 50</t>
        </is>
      </c>
      <c r="H161" s="11" t="n"/>
      <c r="I161" s="11" t="n"/>
      <c r="J161" s="11" t="inlineStr">
        <is>
          <t> · Łopuszanska 24G</t>
        </is>
      </c>
      <c r="K161" s="11" t="n"/>
      <c r="L161" s="11" t="inlineStr">
        <is>
          <t>Wlasciciel / Fachowiec</t>
        </is>
      </c>
      <c r="M161" s="12" t="n">
        <v>323</v>
      </c>
      <c r="N161" s="13" t="n">
        <v>4.7</v>
      </c>
      <c r="O161" s="9" t="inlineStr">
        <is>
          <t>Google Maps</t>
        </is>
      </c>
      <c r="P161" s="9" t="inlineStr">
        <is>
          <t>Nowa</t>
        </is>
      </c>
      <c r="Q161" s="10" t="n"/>
      <c r="R161" s="10" t="n"/>
      <c r="S161" s="11" t="inlineStr">
        <is>
          <t>[FACHOWIEC - nie klient] Alarmy / monitoring. Google Maps: 4.7 gw. z 323 opinii.</t>
        </is>
      </c>
      <c r="T161" s="11" t="n"/>
    </row>
    <row r="162" ht="22" customHeight="1">
      <c r="A162" s="9">
        <f>IF(C162="","",ROW()-1)</f>
        <v/>
      </c>
      <c r="B162" s="10" t="n">
        <v>46135</v>
      </c>
      <c r="C162" s="11" t="inlineStr">
        <is>
          <t>ZABEZPIECZOBIEKT.PL ALARMY KAMERY MONITORING</t>
        </is>
      </c>
      <c r="D162" s="9" t="inlineStr">
        <is>
          <t>Firmy budowlane</t>
        </is>
      </c>
      <c r="E162" s="9" t="inlineStr">
        <is>
          <t>TOP (zielony)</t>
        </is>
      </c>
      <c r="F162" s="9" t="n"/>
      <c r="G162" s="11" t="inlineStr">
        <is>
          <t>+48 572 832 656</t>
        </is>
      </c>
      <c r="H162" s="11" t="n"/>
      <c r="I162" s="11" t="n"/>
      <c r="J162" s="11" t="inlineStr">
        <is>
          <t>Jana Kazimierza 64</t>
        </is>
      </c>
      <c r="K162" s="11" t="n"/>
      <c r="L162" s="11" t="inlineStr">
        <is>
          <t>Wlasciciel / Fachowiec</t>
        </is>
      </c>
      <c r="M162" s="12" t="n">
        <v>70</v>
      </c>
      <c r="N162" s="13" t="n">
        <v>5</v>
      </c>
      <c r="O162" s="9" t="inlineStr">
        <is>
          <t>Google Maps</t>
        </is>
      </c>
      <c r="P162" s="9" t="inlineStr">
        <is>
          <t>Nowa</t>
        </is>
      </c>
      <c r="Q162" s="10" t="n"/>
      <c r="R162" s="10" t="n"/>
      <c r="S162" s="11" t="inlineStr">
        <is>
          <t>[FACHOWIEC - nie klient] Alarmy / monitoring. Google Maps: 5 gw. z 70 opinii.</t>
        </is>
      </c>
      <c r="T162" s="11" t="n"/>
    </row>
    <row r="163" ht="22" customHeight="1">
      <c r="A163" s="9">
        <f>IF(C163="","",ROW()-1)</f>
        <v/>
      </c>
      <c r="B163" s="10" t="n">
        <v>46135</v>
      </c>
      <c r="C163" s="11" t="inlineStr">
        <is>
          <t>Rekorder.pl - Monitoring i Systemy Smart | Warszawa</t>
        </is>
      </c>
      <c r="D163" s="9" t="inlineStr">
        <is>
          <t>Firmy budowlane</t>
        </is>
      </c>
      <c r="E163" s="9" t="inlineStr">
        <is>
          <t>TOP (zielony)</t>
        </is>
      </c>
      <c r="F163" s="9" t="n"/>
      <c r="G163" s="11" t="inlineStr">
        <is>
          <t>+48 505 660 661</t>
        </is>
      </c>
      <c r="H163" s="11" t="n"/>
      <c r="I163" s="11" t="n"/>
      <c r="J163" s="11" t="inlineStr">
        <is>
          <t>Płowiecka 42</t>
        </is>
      </c>
      <c r="K163" s="11" t="n"/>
      <c r="L163" s="11" t="inlineStr">
        <is>
          <t>Wlasciciel / Fachowiec</t>
        </is>
      </c>
      <c r="M163" s="12" t="n">
        <v>61</v>
      </c>
      <c r="N163" s="13" t="n">
        <v>4.9</v>
      </c>
      <c r="O163" s="9" t="inlineStr">
        <is>
          <t>Google Maps</t>
        </is>
      </c>
      <c r="P163" s="9" t="inlineStr">
        <is>
          <t>Nowa</t>
        </is>
      </c>
      <c r="Q163" s="10" t="n"/>
      <c r="R163" s="10" t="n"/>
      <c r="S163" s="11" t="inlineStr">
        <is>
          <t>[FACHOWIEC - nie klient] Alarmy / monitoring. Google Maps: 4.9 gw. z 61 opinii.</t>
        </is>
      </c>
      <c r="T163" s="11" t="n"/>
    </row>
    <row r="164" ht="22" customHeight="1">
      <c r="A164" s="9">
        <f>IF(C164="","",ROW()-1)</f>
        <v/>
      </c>
      <c r="B164" s="10" t="n">
        <v>46135</v>
      </c>
      <c r="C164" s="11" t="inlineStr">
        <is>
          <t>DobryMonitoring - montaz, instalacje kamer przemysłowych cctv ip - Warszawa</t>
        </is>
      </c>
      <c r="D164" s="9" t="inlineStr">
        <is>
          <t>Firmy budowlane</t>
        </is>
      </c>
      <c r="E164" s="9" t="inlineStr">
        <is>
          <t>TOP (zielony)</t>
        </is>
      </c>
      <c r="F164" s="9" t="n"/>
      <c r="G164" s="11" t="inlineStr">
        <is>
          <t>+48 888 688 886</t>
        </is>
      </c>
      <c r="H164" s="11" t="n"/>
      <c r="I164" s="11" t="n"/>
      <c r="J164" s="11" t="inlineStr">
        <is>
          <t> · Powstancow Slaskich 45</t>
        </is>
      </c>
      <c r="K164" s="11" t="n"/>
      <c r="L164" s="11" t="inlineStr">
        <is>
          <t>Wlasciciel / Fachowiec</t>
        </is>
      </c>
      <c r="M164" s="12" t="n">
        <v>454</v>
      </c>
      <c r="N164" s="13" t="n">
        <v>4.9</v>
      </c>
      <c r="O164" s="9" t="inlineStr">
        <is>
          <t>Google Maps</t>
        </is>
      </c>
      <c r="P164" s="9" t="inlineStr">
        <is>
          <t>Nowa</t>
        </is>
      </c>
      <c r="Q164" s="10" t="n"/>
      <c r="R164" s="10" t="n"/>
      <c r="S164" s="11" t="inlineStr">
        <is>
          <t>[FACHOWIEC - nie klient] Alarmy / monitoring. Google Maps: 4.9 gw. z 454 opinii.</t>
        </is>
      </c>
      <c r="T164" s="11" t="n"/>
    </row>
    <row r="165" ht="22" customHeight="1">
      <c r="A165" s="9">
        <f>IF(C165="","",ROW()-1)</f>
        <v/>
      </c>
      <c r="B165" s="10" t="n">
        <v>46135</v>
      </c>
      <c r="C165" s="11" t="inlineStr">
        <is>
          <t>E-SECURITY - Systemy zabezpieczen, montaz monitoringu</t>
        </is>
      </c>
      <c r="D165" s="9" t="inlineStr">
        <is>
          <t>Firmy budowlane</t>
        </is>
      </c>
      <c r="E165" s="9" t="inlineStr">
        <is>
          <t>TOP (zielony)</t>
        </is>
      </c>
      <c r="F165" s="9" t="n"/>
      <c r="G165" s="11" t="inlineStr">
        <is>
          <t>+48 22 230 24 61</t>
        </is>
      </c>
      <c r="H165" s="11" t="n"/>
      <c r="I165" s="11" t="n"/>
      <c r="J165" s="11" t="inlineStr">
        <is>
          <t> · Ksiecia Ziemowita 53</t>
        </is>
      </c>
      <c r="K165" s="11" t="n"/>
      <c r="L165" s="11" t="inlineStr">
        <is>
          <t>Wlasciciel / Fachowiec</t>
        </is>
      </c>
      <c r="M165" s="12" t="n">
        <v>128</v>
      </c>
      <c r="N165" s="13" t="n">
        <v>4.7</v>
      </c>
      <c r="O165" s="9" t="inlineStr">
        <is>
          <t>Google Maps</t>
        </is>
      </c>
      <c r="P165" s="9" t="inlineStr">
        <is>
          <t>Nowa</t>
        </is>
      </c>
      <c r="Q165" s="10" t="n"/>
      <c r="R165" s="10" t="n"/>
      <c r="S165" s="11" t="inlineStr">
        <is>
          <t>[FACHOWIEC - nie klient] Alarmy / monitoring. Google Maps: 4.7 gw. z 128 opinii.</t>
        </is>
      </c>
      <c r="T165" s="11" t="n"/>
    </row>
    <row r="166" ht="22" customHeight="1">
      <c r="A166" s="9">
        <f>IF(C166="","",ROW()-1)</f>
        <v/>
      </c>
      <c r="B166" s="10" t="n">
        <v>46135</v>
      </c>
      <c r="C166" s="11" t="inlineStr">
        <is>
          <t>Systemy Alarmowe Warszawa - Amicor.pl</t>
        </is>
      </c>
      <c r="D166" s="9" t="inlineStr">
        <is>
          <t>Firmy budowlane</t>
        </is>
      </c>
      <c r="E166" s="9" t="inlineStr">
        <is>
          <t>TOP (zielony)</t>
        </is>
      </c>
      <c r="F166" s="9" t="n"/>
      <c r="G166" s="11" t="inlineStr">
        <is>
          <t>+48 602 699 828</t>
        </is>
      </c>
      <c r="H166" s="11" t="n"/>
      <c r="I166" s="11" t="n"/>
      <c r="J166" s="11" t="inlineStr">
        <is>
          <t>ul.Wiazana 8X</t>
        </is>
      </c>
      <c r="K166" s="11" t="n"/>
      <c r="L166" s="11" t="inlineStr">
        <is>
          <t>Wlasciciel / Fachowiec</t>
        </is>
      </c>
      <c r="M166" s="12" t="n">
        <v>62</v>
      </c>
      <c r="N166" s="13" t="n">
        <v>4.9</v>
      </c>
      <c r="O166" s="9" t="inlineStr">
        <is>
          <t>Google Maps</t>
        </is>
      </c>
      <c r="P166" s="9" t="inlineStr">
        <is>
          <t>Nowa</t>
        </is>
      </c>
      <c r="Q166" s="10" t="n"/>
      <c r="R166" s="10" t="n"/>
      <c r="S166" s="11" t="inlineStr">
        <is>
          <t>[FACHOWIEC - nie klient] Alarmy / monitoring. Google Maps: 4.9 gw. z 62 opinii.</t>
        </is>
      </c>
      <c r="T166" s="11" t="n"/>
    </row>
    <row r="167" ht="22" customHeight="1">
      <c r="A167" s="9">
        <f>IF(C167="","",ROW()-1)</f>
        <v/>
      </c>
      <c r="B167" s="10" t="n">
        <v>46135</v>
      </c>
      <c r="C167" s="11" t="inlineStr">
        <is>
          <t>Fotowoltaika.plus</t>
        </is>
      </c>
      <c r="D167" s="9" t="inlineStr">
        <is>
          <t>Firmy budowlane</t>
        </is>
      </c>
      <c r="E167" s="9" t="inlineStr">
        <is>
          <t>TOP (zielony)</t>
        </is>
      </c>
      <c r="F167" s="9" t="n"/>
      <c r="G167" s="11" t="inlineStr">
        <is>
          <t>+48 23 323 32 33</t>
        </is>
      </c>
      <c r="H167" s="11" t="n"/>
      <c r="I167" s="11" t="n"/>
      <c r="J167" s="11" t="inlineStr">
        <is>
          <t> · Puławska 145</t>
        </is>
      </c>
      <c r="K167" s="11" t="n"/>
      <c r="L167" s="11" t="inlineStr">
        <is>
          <t>Wlasciciel / Fachowiec</t>
        </is>
      </c>
      <c r="M167" s="12" t="n">
        <v>46</v>
      </c>
      <c r="N167" s="13" t="n">
        <v>4.7</v>
      </c>
      <c r="O167" s="9" t="inlineStr">
        <is>
          <t>Google Maps</t>
        </is>
      </c>
      <c r="P167" s="9" t="inlineStr">
        <is>
          <t>Nowa</t>
        </is>
      </c>
      <c r="Q167" s="10" t="n"/>
      <c r="R167" s="10" t="n"/>
      <c r="S167" s="11" t="inlineStr">
        <is>
          <t>[FACHOWIEC - nie klient] Fotowoltaika. Google Maps: 4.7 gw. z 46 opinii.</t>
        </is>
      </c>
      <c r="T167" s="11" t="n"/>
    </row>
    <row r="168" ht="22" customHeight="1">
      <c r="A168" s="9">
        <f>IF(C168="","",ROW()-1)</f>
        <v/>
      </c>
      <c r="B168" s="10" t="n">
        <v>46135</v>
      </c>
      <c r="C168" s="11" t="inlineStr">
        <is>
          <t>SUNKING 🤴 Fotowoltaika, Pompy Ciepła, Instalacje Fotowoltaiczne, Panele Słoneczne #1 Cena - Warszawa</t>
        </is>
      </c>
      <c r="D168" s="9" t="inlineStr">
        <is>
          <t>Firmy budowlane</t>
        </is>
      </c>
      <c r="E168" s="9" t="inlineStr">
        <is>
          <t>TOP (zielony)</t>
        </is>
      </c>
      <c r="F168" s="9" t="n"/>
      <c r="G168" s="11" t="inlineStr">
        <is>
          <t>+48 505 350 358</t>
        </is>
      </c>
      <c r="H168" s="11" t="n"/>
      <c r="I168" s="11" t="n"/>
      <c r="J168" s="11" t="inlineStr">
        <is>
          <t>Złota 40</t>
        </is>
      </c>
      <c r="K168" s="11" t="n"/>
      <c r="L168" s="11" t="inlineStr">
        <is>
          <t>Wlasciciel / Fachowiec</t>
        </is>
      </c>
      <c r="M168" s="12" t="n">
        <v>56</v>
      </c>
      <c r="N168" s="13" t="n">
        <v>5</v>
      </c>
      <c r="O168" s="9" t="inlineStr">
        <is>
          <t>Google Maps</t>
        </is>
      </c>
      <c r="P168" s="9" t="inlineStr">
        <is>
          <t>Nowa</t>
        </is>
      </c>
      <c r="Q168" s="10" t="n"/>
      <c r="R168" s="10" t="n"/>
      <c r="S168" s="11" t="inlineStr">
        <is>
          <t>[FACHOWIEC - nie klient] Fotowoltaika. Google Maps: 5 gw. z 56 opinii.</t>
        </is>
      </c>
      <c r="T168" s="11" t="n"/>
    </row>
    <row r="169" ht="22" customHeight="1">
      <c r="A169" s="9">
        <f>IF(C169="","",ROW()-1)</f>
        <v/>
      </c>
      <c r="B169" s="10" t="n">
        <v>46135</v>
      </c>
      <c r="C169" s="11" t="inlineStr">
        <is>
          <t>Polskie Centrum Fotowoltaiki</t>
        </is>
      </c>
      <c r="D169" s="9" t="inlineStr">
        <is>
          <t>Firmy budowlane</t>
        </is>
      </c>
      <c r="E169" s="9" t="inlineStr">
        <is>
          <t>TOP (zielony)</t>
        </is>
      </c>
      <c r="F169" s="9" t="n"/>
      <c r="G169" s="11" t="inlineStr">
        <is>
          <t>+48 791 875 056</t>
        </is>
      </c>
      <c r="H169" s="11" t="n"/>
      <c r="I169" s="11" t="n"/>
      <c r="J169" s="11" t="inlineStr">
        <is>
          <t>Prozna 5/17</t>
        </is>
      </c>
      <c r="K169" s="11" t="n"/>
      <c r="L169" s="11" t="inlineStr">
        <is>
          <t>Wlasciciel / Fachowiec</t>
        </is>
      </c>
      <c r="M169" s="12" t="n">
        <v>61</v>
      </c>
      <c r="N169" s="13" t="n">
        <v>4.8</v>
      </c>
      <c r="O169" s="9" t="inlineStr">
        <is>
          <t>Google Maps</t>
        </is>
      </c>
      <c r="P169" s="9" t="inlineStr">
        <is>
          <t>Nowa</t>
        </is>
      </c>
      <c r="Q169" s="10" t="n"/>
      <c r="R169" s="10" t="n"/>
      <c r="S169" s="11" t="inlineStr">
        <is>
          <t>[FACHOWIEC - nie klient] Fotowoltaika. Google Maps: 4.8 gw. z 61 opinii.</t>
        </is>
      </c>
      <c r="T169" s="11" t="n"/>
    </row>
    <row r="170" ht="22" customHeight="1">
      <c r="A170" s="9">
        <f>IF(C170="","",ROW()-1)</f>
        <v/>
      </c>
      <c r="B170" s="10" t="n">
        <v>46135</v>
      </c>
      <c r="C170" s="11" t="inlineStr">
        <is>
          <t>TEPLO - Fotowoltaika i Magazyny Energii</t>
        </is>
      </c>
      <c r="D170" s="9" t="inlineStr">
        <is>
          <t>Firmy budowlane</t>
        </is>
      </c>
      <c r="E170" s="9" t="inlineStr">
        <is>
          <t>TOP (zielony)</t>
        </is>
      </c>
      <c r="F170" s="9" t="n"/>
      <c r="G170" s="11" t="inlineStr">
        <is>
          <t>+48 508 608 188</t>
        </is>
      </c>
      <c r="H170" s="11" t="n"/>
      <c r="I170" s="11" t="n"/>
      <c r="J170" s="11" t="inlineStr">
        <is>
          <t>Powstancow Slaskich 89D/351</t>
        </is>
      </c>
      <c r="K170" s="11" t="n"/>
      <c r="L170" s="11" t="inlineStr">
        <is>
          <t>Wlasciciel / Fachowiec</t>
        </is>
      </c>
      <c r="M170" s="12" t="n">
        <v>51</v>
      </c>
      <c r="N170" s="13" t="n">
        <v>5</v>
      </c>
      <c r="O170" s="9" t="inlineStr">
        <is>
          <t>Google Maps</t>
        </is>
      </c>
      <c r="P170" s="9" t="inlineStr">
        <is>
          <t>Nowa</t>
        </is>
      </c>
      <c r="Q170" s="10" t="n"/>
      <c r="R170" s="10" t="n"/>
      <c r="S170" s="11" t="inlineStr">
        <is>
          <t>[FACHOWIEC - nie klient] Fotowoltaika. Google Maps: 5 gw. z 51 opinii.</t>
        </is>
      </c>
      <c r="T170" s="11" t="n"/>
    </row>
    <row r="171" ht="22" customHeight="1">
      <c r="A171" s="9">
        <f>IF(C171="","",ROW()-1)</f>
        <v/>
      </c>
      <c r="B171" s="10" t="n">
        <v>46135</v>
      </c>
      <c r="C171" s="11" t="inlineStr">
        <is>
          <t>Polenergia Fotowoltaika S.A.</t>
        </is>
      </c>
      <c r="D171" s="9" t="inlineStr">
        <is>
          <t>Firmy budowlane</t>
        </is>
      </c>
      <c r="E171" s="9" t="inlineStr">
        <is>
          <t>TOP (zielony)</t>
        </is>
      </c>
      <c r="F171" s="9" t="n"/>
      <c r="G171" s="11" t="inlineStr">
        <is>
          <t>+48 71 702 67 17</t>
        </is>
      </c>
      <c r="H171" s="11" t="n"/>
      <c r="I171" s="11" t="n"/>
      <c r="J171" s="11" t="inlineStr">
        <is>
          <t> · Wołoska 22</t>
        </is>
      </c>
      <c r="K171" s="11" t="n"/>
      <c r="L171" s="11" t="inlineStr">
        <is>
          <t>Wlasciciel / Fachowiec</t>
        </is>
      </c>
      <c r="M171" s="12" t="n">
        <v>3653</v>
      </c>
      <c r="N171" s="13" t="n">
        <v>4.5</v>
      </c>
      <c r="O171" s="9" t="inlineStr">
        <is>
          <t>Google Maps</t>
        </is>
      </c>
      <c r="P171" s="9" t="inlineStr">
        <is>
          <t>Nowa</t>
        </is>
      </c>
      <c r="Q171" s="10" t="n"/>
      <c r="R171" s="10" t="n"/>
      <c r="S171" s="11" t="inlineStr">
        <is>
          <t>[FACHOWIEC - nie klient] Fotowoltaika. Google Maps: 4.5 gw. z 3653 opinii.</t>
        </is>
      </c>
      <c r="T171" s="11" t="n"/>
    </row>
    <row r="172" ht="22" customHeight="1">
      <c r="A172" s="9">
        <f>IF(C172="","",ROW()-1)</f>
        <v/>
      </c>
      <c r="B172" s="10" t="n">
        <v>46135</v>
      </c>
      <c r="C172" s="11" t="inlineStr">
        <is>
          <t>Twoja Energia Sp. z o.o. - Fototwoltaika i OZE</t>
        </is>
      </c>
      <c r="D172" s="9" t="inlineStr">
        <is>
          <t>Firmy budowlane</t>
        </is>
      </c>
      <c r="E172" s="9" t="inlineStr">
        <is>
          <t>TOP (zielony)</t>
        </is>
      </c>
      <c r="F172" s="9" t="n"/>
      <c r="G172" s="11" t="inlineStr">
        <is>
          <t>+48 22 633 82 75</t>
        </is>
      </c>
      <c r="H172" s="11" t="n"/>
      <c r="I172" s="11" t="n"/>
      <c r="J172" s="11" t="inlineStr">
        <is>
          <t>Alojzego Felinskiego 40</t>
        </is>
      </c>
      <c r="K172" s="11" t="n"/>
      <c r="L172" s="11" t="inlineStr">
        <is>
          <t>Wlasciciel / Fachowiec</t>
        </is>
      </c>
      <c r="M172" s="12" t="n">
        <v>42</v>
      </c>
      <c r="N172" s="13" t="n">
        <v>4.5</v>
      </c>
      <c r="O172" s="9" t="inlineStr">
        <is>
          <t>Google Maps</t>
        </is>
      </c>
      <c r="P172" s="9" t="inlineStr">
        <is>
          <t>Nowa</t>
        </is>
      </c>
      <c r="Q172" s="10" t="n"/>
      <c r="R172" s="10" t="n"/>
      <c r="S172" s="11" t="inlineStr">
        <is>
          <t>[FACHOWIEC - nie klient] Fotowoltaika. Google Maps: 4.5 gw. z 42 opinii.</t>
        </is>
      </c>
      <c r="T172" s="11" t="n"/>
    </row>
    <row r="173" ht="22" customHeight="1">
      <c r="A173" s="9">
        <f>IF(C173="","",ROW()-1)</f>
        <v/>
      </c>
      <c r="B173" s="10" t="n">
        <v>46135</v>
      </c>
      <c r="C173" s="11" t="inlineStr">
        <is>
          <t>Larsson Nobel Sp. z o.o.</t>
        </is>
      </c>
      <c r="D173" s="9" t="inlineStr">
        <is>
          <t>Firmy budowlane</t>
        </is>
      </c>
      <c r="E173" s="9" t="inlineStr">
        <is>
          <t>TOP (zielony)</t>
        </is>
      </c>
      <c r="F173" s="9" t="n"/>
      <c r="G173" s="11" t="inlineStr">
        <is>
          <t>+48 798 289 399</t>
        </is>
      </c>
      <c r="H173" s="11" t="n"/>
      <c r="I173" s="11" t="n"/>
      <c r="J173" s="11" t="inlineStr">
        <is>
          <t>Belgradzka 14/u16/59</t>
        </is>
      </c>
      <c r="K173" s="11" t="n"/>
      <c r="L173" s="11" t="inlineStr">
        <is>
          <t>Wlasciciel / Fachowiec</t>
        </is>
      </c>
      <c r="M173" s="12" t="n">
        <v>131</v>
      </c>
      <c r="N173" s="13" t="n">
        <v>5</v>
      </c>
      <c r="O173" s="9" t="inlineStr">
        <is>
          <t>Google Maps</t>
        </is>
      </c>
      <c r="P173" s="9" t="inlineStr">
        <is>
          <t>Nowa</t>
        </is>
      </c>
      <c r="Q173" s="10" t="n"/>
      <c r="R173" s="10" t="n"/>
      <c r="S173" s="11" t="inlineStr">
        <is>
          <t>[FACHOWIEC - nie klient] Fotowoltaika. Google Maps: 5 gw. z 131 opinii.</t>
        </is>
      </c>
      <c r="T173" s="11" t="n"/>
    </row>
    <row r="174" ht="22" customHeight="1">
      <c r="A174" s="9">
        <f>IF(C174="","",ROW()-1)</f>
        <v/>
      </c>
      <c r="B174" s="10" t="n">
        <v>46135</v>
      </c>
      <c r="C174" s="11" t="inlineStr">
        <is>
          <t>STALPAN - ogrodzenia, bramy, balustrady</t>
        </is>
      </c>
      <c r="D174" s="9" t="inlineStr">
        <is>
          <t>Firmy budowlane</t>
        </is>
      </c>
      <c r="E174" s="9" t="inlineStr">
        <is>
          <t>TOP (zielony)</t>
        </is>
      </c>
      <c r="F174" s="9" t="n"/>
      <c r="G174" s="11" t="inlineStr">
        <is>
          <t>+48 504 340 480</t>
        </is>
      </c>
      <c r="H174" s="11" t="n"/>
      <c r="I174" s="11" t="n"/>
      <c r="J174" s="11" t="inlineStr">
        <is>
          <t> · Leszka Czarnego 11</t>
        </is>
      </c>
      <c r="K174" s="11" t="n"/>
      <c r="L174" s="11" t="inlineStr">
        <is>
          <t>Wlasciciel / Fachowiec</t>
        </is>
      </c>
      <c r="M174" s="12" t="n">
        <v>21</v>
      </c>
      <c r="N174" s="13" t="n">
        <v>4.8</v>
      </c>
      <c r="O174" s="9" t="inlineStr">
        <is>
          <t>Google Maps</t>
        </is>
      </c>
      <c r="P174" s="9" t="inlineStr">
        <is>
          <t>Nowa</t>
        </is>
      </c>
      <c r="Q174" s="10" t="n"/>
      <c r="R174" s="10" t="n"/>
      <c r="S174" s="11" t="inlineStr">
        <is>
          <t>[FACHOWIEC - nie klient] Ogrodzenia / bramy. Google Maps: 4.8 gw. z 21 opinii.</t>
        </is>
      </c>
      <c r="T174" s="11" t="n"/>
    </row>
    <row r="175" ht="22" customHeight="1">
      <c r="A175" s="9">
        <f>IF(C175="","",ROW()-1)</f>
        <v/>
      </c>
      <c r="B175" s="10" t="n">
        <v>46135</v>
      </c>
      <c r="C175" s="11" t="inlineStr">
        <is>
          <t>Nasze Rolety Warszawa. Rolety antywłamaniowe, zaluzje, markizy</t>
        </is>
      </c>
      <c r="D175" s="9" t="inlineStr">
        <is>
          <t>Firmy budowlane</t>
        </is>
      </c>
      <c r="E175" s="9" t="inlineStr">
        <is>
          <t>TOP (zielony)</t>
        </is>
      </c>
      <c r="F175" s="9" t="n"/>
      <c r="G175" s="11" t="inlineStr">
        <is>
          <t>+48 515 287 495</t>
        </is>
      </c>
      <c r="H175" s="11" t="n"/>
      <c r="I175" s="11" t="n"/>
      <c r="J175" s="11" t="inlineStr">
        <is>
          <t>Radzyminska 208</t>
        </is>
      </c>
      <c r="K175" s="11" t="n"/>
      <c r="L175" s="11" t="inlineStr">
        <is>
          <t>Wlasciciel / Fachowiec</t>
        </is>
      </c>
      <c r="M175" s="12" t="n">
        <v>141</v>
      </c>
      <c r="N175" s="13" t="n">
        <v>5</v>
      </c>
      <c r="O175" s="9" t="inlineStr">
        <is>
          <t>Google Maps</t>
        </is>
      </c>
      <c r="P175" s="9" t="inlineStr">
        <is>
          <t>Nowa</t>
        </is>
      </c>
      <c r="Q175" s="10" t="n"/>
      <c r="R175" s="10" t="n"/>
      <c r="S175" s="11" t="inlineStr">
        <is>
          <t>[FACHOWIEC - nie klient] Rolety / markizy. Google Maps: 5 gw. z 141 opinii.</t>
        </is>
      </c>
      <c r="T175" s="11" t="n"/>
    </row>
    <row r="176" ht="22" customHeight="1">
      <c r="A176" s="9">
        <f>IF(C176="","",ROW()-1)</f>
        <v/>
      </c>
      <c r="B176" s="10" t="n">
        <v>46135</v>
      </c>
      <c r="C176" s="11" t="inlineStr">
        <is>
          <t>Piece i Kotły Gazowe Warszawa Piaseczno – Serwis Naprawa Przeglad Montaz</t>
        </is>
      </c>
      <c r="D176" s="9" t="inlineStr">
        <is>
          <t>Firmy budowlane</t>
        </is>
      </c>
      <c r="E176" s="9" t="inlineStr">
        <is>
          <t>TOP (zielony)</t>
        </is>
      </c>
      <c r="F176" s="9" t="n"/>
      <c r="G176" s="11" t="inlineStr">
        <is>
          <t>+48 666 602 211</t>
        </is>
      </c>
      <c r="H176" s="11" t="n"/>
      <c r="I176" s="11" t="n"/>
      <c r="J176" s="11" t="inlineStr">
        <is>
          <t>Wisniowa 6B</t>
        </is>
      </c>
      <c r="K176" s="11" t="n"/>
      <c r="L176" s="11" t="inlineStr">
        <is>
          <t>Wlasciciel / Fachowiec</t>
        </is>
      </c>
      <c r="M176" s="12" t="n">
        <v>38</v>
      </c>
      <c r="N176" s="13" t="n">
        <v>4.8</v>
      </c>
      <c r="O176" s="9" t="inlineStr">
        <is>
          <t>Google Maps</t>
        </is>
      </c>
      <c r="P176" s="9" t="inlineStr">
        <is>
          <t>Nowa</t>
        </is>
      </c>
      <c r="Q176" s="10" t="n"/>
      <c r="R176" s="10" t="n"/>
      <c r="S176" s="11" t="inlineStr">
        <is>
          <t>[FACHOWIEC - nie klient] Kotly CO / piece. Google Maps: 4.8 gw. z 38 opinii.</t>
        </is>
      </c>
      <c r="T176" s="11" t="n"/>
    </row>
    <row r="177" ht="22" customHeight="1">
      <c r="A177" s="9">
        <f>IF(C177="","",ROW()-1)</f>
        <v/>
      </c>
      <c r="B177" s="10" t="n">
        <v>46135</v>
      </c>
      <c r="C177" s="11" t="inlineStr">
        <is>
          <t>Kominiarz Warszawa Piotr Sorokosz usługi kominiarskie</t>
        </is>
      </c>
      <c r="D177" s="9" t="inlineStr">
        <is>
          <t>Firmy budowlane</t>
        </is>
      </c>
      <c r="E177" s="9" t="inlineStr">
        <is>
          <t>TOP (zielony)</t>
        </is>
      </c>
      <c r="F177" s="9" t="n"/>
      <c r="G177" s="11" t="inlineStr">
        <is>
          <t>+48 508 328 199</t>
        </is>
      </c>
      <c r="H177" s="11" t="n"/>
      <c r="I177" s="11" t="n"/>
      <c r="J177" s="11" t="inlineStr">
        <is>
          <t>Jana Kazimierza 17a/13</t>
        </is>
      </c>
      <c r="K177" s="11" t="n"/>
      <c r="L177" s="11" t="inlineStr">
        <is>
          <t>Wlasciciel / Fachowiec</t>
        </is>
      </c>
      <c r="M177" s="12" t="n">
        <v>112</v>
      </c>
      <c r="N177" s="13" t="n">
        <v>4.8</v>
      </c>
      <c r="O177" s="9" t="inlineStr">
        <is>
          <t>Google Maps</t>
        </is>
      </c>
      <c r="P177" s="9" t="inlineStr">
        <is>
          <t>Nowa</t>
        </is>
      </c>
      <c r="Q177" s="10" t="n"/>
      <c r="R177" s="10" t="n"/>
      <c r="S177" s="11" t="inlineStr">
        <is>
          <t>[FACHOWIEC - nie klient] Kominiarz. Google Maps: 4.8 gw. z 112 opinii.</t>
        </is>
      </c>
      <c r="T177" s="11" t="n"/>
    </row>
    <row r="178" ht="22" customHeight="1">
      <c r="A178" s="9">
        <f>IF(C178="","",ROW()-1)</f>
        <v/>
      </c>
      <c r="B178" s="10" t="n">
        <v>46135</v>
      </c>
      <c r="C178" s="11" t="inlineStr">
        <is>
          <t>PAWEŁ SOROKOSZ USŁUGI KOMINIARSKIE I GAZOWE</t>
        </is>
      </c>
      <c r="D178" s="9" t="inlineStr">
        <is>
          <t>Firmy budowlane</t>
        </is>
      </c>
      <c r="E178" s="9" t="inlineStr">
        <is>
          <t>TOP (zielony)</t>
        </is>
      </c>
      <c r="F178" s="9" t="n"/>
      <c r="G178" s="11" t="inlineStr">
        <is>
          <t>+48 508 345 746</t>
        </is>
      </c>
      <c r="H178" s="11" t="n"/>
      <c r="I178" s="11" t="n"/>
      <c r="J178" s="11" t="inlineStr">
        <is>
          <t>Bokserska 36</t>
        </is>
      </c>
      <c r="K178" s="11" t="n"/>
      <c r="L178" s="11" t="inlineStr">
        <is>
          <t>Wlasciciel / Fachowiec</t>
        </is>
      </c>
      <c r="M178" s="12" t="n">
        <v>141</v>
      </c>
      <c r="N178" s="13" t="n">
        <v>4.8</v>
      </c>
      <c r="O178" s="9" t="inlineStr">
        <is>
          <t>Google Maps</t>
        </is>
      </c>
      <c r="P178" s="9" t="inlineStr">
        <is>
          <t>Nowa</t>
        </is>
      </c>
      <c r="Q178" s="10" t="n"/>
      <c r="R178" s="10" t="n"/>
      <c r="S178" s="11" t="inlineStr">
        <is>
          <t>[FACHOWIEC - nie klient] Kominiarz. Google Maps: 4.8 gw. z 141 opinii.</t>
        </is>
      </c>
      <c r="T178" s="11" t="n"/>
    </row>
    <row r="179" ht="22" customHeight="1">
      <c r="A179" s="9">
        <f>IF(C179="","",ROW()-1)</f>
        <v/>
      </c>
      <c r="B179" s="10" t="n">
        <v>46135</v>
      </c>
      <c r="C179" s="11" t="inlineStr">
        <is>
          <t>Zakład Usług Kominiarsko - Gazowych Grzegorz D. Wierzbicki</t>
        </is>
      </c>
      <c r="D179" s="9" t="inlineStr">
        <is>
          <t>Firmy budowlane</t>
        </is>
      </c>
      <c r="E179" s="9" t="inlineStr">
        <is>
          <t>TOP (zielony)</t>
        </is>
      </c>
      <c r="F179" s="9" t="n"/>
      <c r="G179" s="11" t="inlineStr">
        <is>
          <t>+48 518 740 447</t>
        </is>
      </c>
      <c r="H179" s="11" t="n"/>
      <c r="I179" s="11" t="n"/>
      <c r="J179" s="11" t="inlineStr">
        <is>
          <t>Przylesie 21</t>
        </is>
      </c>
      <c r="K179" s="11" t="n"/>
      <c r="L179" s="11" t="inlineStr">
        <is>
          <t>Wlasciciel / Fachowiec</t>
        </is>
      </c>
      <c r="M179" s="12" t="n">
        <v>83</v>
      </c>
      <c r="N179" s="13" t="n">
        <v>4.8</v>
      </c>
      <c r="O179" s="9" t="inlineStr">
        <is>
          <t>Google Maps</t>
        </is>
      </c>
      <c r="P179" s="9" t="inlineStr">
        <is>
          <t>Nowa</t>
        </is>
      </c>
      <c r="Q179" s="10" t="n"/>
      <c r="R179" s="10" t="n"/>
      <c r="S179" s="11" t="inlineStr">
        <is>
          <t>[FACHOWIEC - nie klient] Kominiarz. Google Maps: 4.8 gw. z 83 opinii.</t>
        </is>
      </c>
      <c r="T179" s="11" t="n"/>
    </row>
    <row r="180" ht="22" customHeight="1">
      <c r="A180" s="9">
        <f>IF(C180="","",ROW()-1)</f>
        <v/>
      </c>
      <c r="B180" s="10" t="n">
        <v>46135</v>
      </c>
      <c r="C180" s="11" t="inlineStr">
        <is>
          <t>Kominiarz Warszawski Usługi Kominiarskie🎩🪜</t>
        </is>
      </c>
      <c r="D180" s="9" t="inlineStr">
        <is>
          <t>Firmy budowlane</t>
        </is>
      </c>
      <c r="E180" s="9" t="inlineStr">
        <is>
          <t>TOP (zielony)</t>
        </is>
      </c>
      <c r="F180" s="9" t="n"/>
      <c r="G180" s="11" t="inlineStr">
        <is>
          <t>+48 791 444 033</t>
        </is>
      </c>
      <c r="H180" s="11" t="n"/>
      <c r="I180" s="11" t="n"/>
      <c r="J180" s="11" t="inlineStr">
        <is>
          <t>Krola Maciusia 13</t>
        </is>
      </c>
      <c r="K180" s="11" t="n"/>
      <c r="L180" s="11" t="inlineStr">
        <is>
          <t>Wlasciciel / Fachowiec</t>
        </is>
      </c>
      <c r="M180" s="12" t="n">
        <v>46</v>
      </c>
      <c r="N180" s="13" t="n">
        <v>4.7</v>
      </c>
      <c r="O180" s="9" t="inlineStr">
        <is>
          <t>Google Maps</t>
        </is>
      </c>
      <c r="P180" s="9" t="inlineStr">
        <is>
          <t>Nowa</t>
        </is>
      </c>
      <c r="Q180" s="10" t="n"/>
      <c r="R180" s="10" t="n"/>
      <c r="S180" s="11" t="inlineStr">
        <is>
          <t>[FACHOWIEC - nie klient] Kominiarz. Google Maps: 4.7 gw. z 46 opinii.</t>
        </is>
      </c>
      <c r="T180" s="11" t="n"/>
    </row>
    <row r="181" ht="22" customHeight="1">
      <c r="A181" s="9">
        <f>IF(C181="","",ROW()-1)</f>
        <v/>
      </c>
      <c r="B181" s="10" t="n">
        <v>46135</v>
      </c>
      <c r="C181" s="11" t="inlineStr">
        <is>
          <t>Kominiarz - Gazownik Marcin Baniel</t>
        </is>
      </c>
      <c r="D181" s="9" t="inlineStr">
        <is>
          <t>Firmy budowlane</t>
        </is>
      </c>
      <c r="E181" s="9" t="inlineStr">
        <is>
          <t>TOP (zielony)</t>
        </is>
      </c>
      <c r="F181" s="9" t="n"/>
      <c r="G181" s="11" t="inlineStr">
        <is>
          <t>+48 511 116 702</t>
        </is>
      </c>
      <c r="H181" s="11" t="n"/>
      <c r="I181" s="11" t="n"/>
      <c r="J181" s="11" t="inlineStr">
        <is>
          <t>Powstancow Slaskich 8/m 11</t>
        </is>
      </c>
      <c r="K181" s="11" t="n"/>
      <c r="L181" s="11" t="inlineStr">
        <is>
          <t>Wlasciciel / Fachowiec</t>
        </is>
      </c>
      <c r="M181" s="12" t="n">
        <v>52</v>
      </c>
      <c r="N181" s="13" t="n">
        <v>4.8</v>
      </c>
      <c r="O181" s="9" t="inlineStr">
        <is>
          <t>Google Maps</t>
        </is>
      </c>
      <c r="P181" s="9" t="inlineStr">
        <is>
          <t>Nowa</t>
        </is>
      </c>
      <c r="Q181" s="10" t="n"/>
      <c r="R181" s="10" t="n"/>
      <c r="S181" s="11" t="inlineStr">
        <is>
          <t>[FACHOWIEC - nie klient] Kominiarz. Google Maps: 4.8 gw. z 52 opinii.</t>
        </is>
      </c>
      <c r="T181" s="11" t="n"/>
    </row>
    <row r="182" ht="22" customHeight="1">
      <c r="A182" s="9">
        <f>IF(C182="","",ROW()-1)</f>
        <v/>
      </c>
      <c r="B182" s="10" t="n">
        <v>46135</v>
      </c>
      <c r="C182" s="11" t="inlineStr">
        <is>
          <t>Kominiarz Praga</t>
        </is>
      </c>
      <c r="D182" s="9" t="inlineStr">
        <is>
          <t>Firmy budowlane</t>
        </is>
      </c>
      <c r="E182" s="9" t="inlineStr">
        <is>
          <t>Sredni (zolty)</t>
        </is>
      </c>
      <c r="F182" s="9" t="n"/>
      <c r="G182" s="11" t="inlineStr">
        <is>
          <t>+48 660 799 638</t>
        </is>
      </c>
      <c r="H182" s="11" t="n"/>
      <c r="I182" s="11" t="n"/>
      <c r="J182" s="11" t="inlineStr">
        <is>
          <t>Jana Zamoyskiego 27/1</t>
        </is>
      </c>
      <c r="K182" s="11" t="n"/>
      <c r="L182" s="11" t="inlineStr">
        <is>
          <t>Wlasciciel / Fachowiec</t>
        </is>
      </c>
      <c r="M182" s="12" t="n">
        <v>15</v>
      </c>
      <c r="N182" s="13" t="n">
        <v>5</v>
      </c>
      <c r="O182" s="9" t="inlineStr">
        <is>
          <t>Google Maps</t>
        </is>
      </c>
      <c r="P182" s="9" t="inlineStr">
        <is>
          <t>Nowa</t>
        </is>
      </c>
      <c r="Q182" s="10" t="n"/>
      <c r="R182" s="10" t="n"/>
      <c r="S182" s="11" t="inlineStr">
        <is>
          <t>[FACHOWIEC - nie klient] Kominiarz. Google Maps: 5 gw. z 15 opinii.</t>
        </is>
      </c>
      <c r="T182" s="11" t="n"/>
    </row>
    <row r="183" ht="22" customHeight="1">
      <c r="A183" s="9">
        <f>IF(C183="","",ROW()-1)</f>
        <v/>
      </c>
      <c r="B183" s="10" t="n">
        <v>46135</v>
      </c>
      <c r="C183" s="11" t="inlineStr">
        <is>
          <t>Usługi ogrodnicze - Zielony Folwark -budowa ogrodow, projektowanie ogrodow , prace ogrodnicze Warszawa</t>
        </is>
      </c>
      <c r="D183" s="9" t="inlineStr">
        <is>
          <t>Firmy budowlane</t>
        </is>
      </c>
      <c r="E183" s="9" t="inlineStr">
        <is>
          <t>TOP (zielony)</t>
        </is>
      </c>
      <c r="F183" s="9" t="n"/>
      <c r="G183" s="11" t="inlineStr">
        <is>
          <t>+48 795 597 365</t>
        </is>
      </c>
      <c r="H183" s="11" t="n"/>
      <c r="I183" s="11" t="n"/>
      <c r="J183" s="11" t="inlineStr">
        <is>
          <t>Szklarniowa 2B</t>
        </is>
      </c>
      <c r="K183" s="11" t="n"/>
      <c r="L183" s="11" t="inlineStr">
        <is>
          <t>Wlasciciel / Fachowiec</t>
        </is>
      </c>
      <c r="M183" s="12" t="n">
        <v>39</v>
      </c>
      <c r="N183" s="13" t="n">
        <v>4.9</v>
      </c>
      <c r="O183" s="9" t="inlineStr">
        <is>
          <t>Google Maps</t>
        </is>
      </c>
      <c r="P183" s="9" t="inlineStr">
        <is>
          <t>Nowa</t>
        </is>
      </c>
      <c r="Q183" s="10" t="n"/>
      <c r="R183" s="10" t="n"/>
      <c r="S183" s="11" t="inlineStr">
        <is>
          <t>[FACHOWIEC - nie klient] Ogrodnik / arch. krajobrazu. Google Maps: 4.9 gw. z 39 opinii.</t>
        </is>
      </c>
      <c r="T183" s="11" t="n"/>
    </row>
    <row r="184" ht="22" customHeight="1">
      <c r="A184" s="9">
        <f>IF(C184="","",ROW()-1)</f>
        <v/>
      </c>
      <c r="B184" s="10" t="n">
        <v>46135</v>
      </c>
      <c r="C184" s="11" t="inlineStr">
        <is>
          <t>Parks&amp;Gardens - Zakładanie ogrodow</t>
        </is>
      </c>
      <c r="D184" s="9" t="inlineStr">
        <is>
          <t>Firmy budowlane</t>
        </is>
      </c>
      <c r="E184" s="9" t="inlineStr">
        <is>
          <t>TOP (zielony)</t>
        </is>
      </c>
      <c r="F184" s="9" t="n"/>
      <c r="G184" s="11" t="inlineStr">
        <is>
          <t>+48 883 759 532</t>
        </is>
      </c>
      <c r="H184" s="11" t="n"/>
      <c r="I184" s="11" t="n"/>
      <c r="J184" s="11" t="inlineStr">
        <is>
          <t>Wał Miedzeszynski</t>
        </is>
      </c>
      <c r="K184" s="11" t="n"/>
      <c r="L184" s="11" t="inlineStr">
        <is>
          <t>Wlasciciel / Fachowiec</t>
        </is>
      </c>
      <c r="M184" s="12" t="n">
        <v>35</v>
      </c>
      <c r="N184" s="13" t="n">
        <v>4.9</v>
      </c>
      <c r="O184" s="9" t="inlineStr">
        <is>
          <t>Google Maps</t>
        </is>
      </c>
      <c r="P184" s="9" t="inlineStr">
        <is>
          <t>Nowa</t>
        </is>
      </c>
      <c r="Q184" s="10" t="n"/>
      <c r="R184" s="10" t="n"/>
      <c r="S184" s="11" t="inlineStr">
        <is>
          <t>[FACHOWIEC - nie klient] Ogrodnik / arch. krajobrazu. Google Maps: 4.9 gw. z 35 opinii.</t>
        </is>
      </c>
      <c r="T184" s="11" t="n"/>
    </row>
    <row r="185" ht="22" customHeight="1">
      <c r="A185" s="9">
        <f>IF(C185="","",ROW()-1)</f>
        <v/>
      </c>
      <c r="B185" s="10" t="n">
        <v>46135</v>
      </c>
      <c r="C185" s="11" t="inlineStr">
        <is>
          <t>in GREEN. OGRODY</t>
        </is>
      </c>
      <c r="D185" s="9" t="inlineStr">
        <is>
          <t>Firmy budowlane</t>
        </is>
      </c>
      <c r="E185" s="9" t="inlineStr">
        <is>
          <t>Sredni (zolty)</t>
        </is>
      </c>
      <c r="F185" s="9" t="n"/>
      <c r="G185" s="11" t="inlineStr">
        <is>
          <t>+48 602 101 910</t>
        </is>
      </c>
      <c r="H185" s="11" t="n"/>
      <c r="I185" s="11" t="n"/>
      <c r="J185" s="11" t="inlineStr">
        <is>
          <t>Zabkowska 38a</t>
        </is>
      </c>
      <c r="K185" s="11" t="n"/>
      <c r="L185" s="11" t="inlineStr">
        <is>
          <t>Wlasciciel / Fachowiec</t>
        </is>
      </c>
      <c r="M185" s="12" t="n">
        <v>19</v>
      </c>
      <c r="N185" s="13" t="n">
        <v>4.8</v>
      </c>
      <c r="O185" s="9" t="inlineStr">
        <is>
          <t>Google Maps</t>
        </is>
      </c>
      <c r="P185" s="9" t="inlineStr">
        <is>
          <t>Nowa</t>
        </is>
      </c>
      <c r="Q185" s="10" t="n"/>
      <c r="R185" s="10" t="n"/>
      <c r="S185" s="11" t="inlineStr">
        <is>
          <t>[FACHOWIEC - nie klient] Ogrodnik / arch. krajobrazu. Google Maps: 4.8 gw. z 19 opinii.</t>
        </is>
      </c>
      <c r="T185" s="11" t="n"/>
    </row>
    <row r="186" ht="22" customHeight="1">
      <c r="A186" s="9">
        <f>IF(C186="","",ROW()-1)</f>
        <v/>
      </c>
      <c r="B186" s="10" t="n">
        <v>46135</v>
      </c>
      <c r="C186" s="11" t="inlineStr">
        <is>
          <t>OGROD MARZEN i mycie dachow - Mikolaj Stadnik</t>
        </is>
      </c>
      <c r="D186" s="9" t="inlineStr">
        <is>
          <t>Firmy budowlane</t>
        </is>
      </c>
      <c r="E186" s="9" t="inlineStr">
        <is>
          <t>TOP (zielony)</t>
        </is>
      </c>
      <c r="F186" s="9" t="n"/>
      <c r="G186" s="11" t="inlineStr">
        <is>
          <t>+48 792 799 747</t>
        </is>
      </c>
      <c r="H186" s="11" t="n"/>
      <c r="I186" s="11" t="n"/>
      <c r="J186" s="11" t="inlineStr">
        <is>
          <t> · Łopuszanska 57a</t>
        </is>
      </c>
      <c r="K186" s="11" t="n"/>
      <c r="L186" s="11" t="inlineStr">
        <is>
          <t>Wlasciciel / Fachowiec</t>
        </is>
      </c>
      <c r="M186" s="12" t="n">
        <v>74</v>
      </c>
      <c r="N186" s="13" t="n">
        <v>4.9</v>
      </c>
      <c r="O186" s="9" t="inlineStr">
        <is>
          <t>Google Maps</t>
        </is>
      </c>
      <c r="P186" s="9" t="inlineStr">
        <is>
          <t>Nowa</t>
        </is>
      </c>
      <c r="Q186" s="10" t="n"/>
      <c r="R186" s="10" t="n"/>
      <c r="S186" s="11" t="inlineStr">
        <is>
          <t>[FACHOWIEC - nie klient] Ogrodnik / arch. krajobrazu. Google Maps: 4.9 gw. z 74 opinii.</t>
        </is>
      </c>
      <c r="T186" s="11" t="n"/>
    </row>
    <row r="187" ht="22" customHeight="1">
      <c r="A187" s="9">
        <f>IF(C187="","",ROW()-1)</f>
        <v/>
      </c>
      <c r="B187" s="10" t="n">
        <v>46135</v>
      </c>
      <c r="C187" s="11" t="inlineStr">
        <is>
          <t>Grupa BNK - Ogrody</t>
        </is>
      </c>
      <c r="D187" s="9" t="inlineStr">
        <is>
          <t>Firmy budowlane</t>
        </is>
      </c>
      <c r="E187" s="9" t="inlineStr">
        <is>
          <t>Sredni (zolty)</t>
        </is>
      </c>
      <c r="F187" s="9" t="n"/>
      <c r="G187" s="11" t="inlineStr">
        <is>
          <t>+48 789 230 598</t>
        </is>
      </c>
      <c r="H187" s="11" t="n"/>
      <c r="I187" s="11" t="n"/>
      <c r="J187" s="11" t="inlineStr">
        <is>
          <t>Łopuszanska 55</t>
        </is>
      </c>
      <c r="K187" s="11" t="n"/>
      <c r="L187" s="11" t="inlineStr">
        <is>
          <t>Wlasciciel / Fachowiec</t>
        </is>
      </c>
      <c r="M187" s="12" t="n">
        <v>6</v>
      </c>
      <c r="N187" s="13" t="n">
        <v>5</v>
      </c>
      <c r="O187" s="9" t="inlineStr">
        <is>
          <t>Google Maps</t>
        </is>
      </c>
      <c r="P187" s="9" t="inlineStr">
        <is>
          <t>Nowa</t>
        </is>
      </c>
      <c r="Q187" s="10" t="n"/>
      <c r="R187" s="10" t="n"/>
      <c r="S187" s="11" t="inlineStr">
        <is>
          <t>[FACHOWIEC - nie klient] Ogrodnik / arch. krajobrazu. Google Maps: 5 gw. z 6 opinii.</t>
        </is>
      </c>
      <c r="T187" s="11" t="n"/>
    </row>
    <row r="188" ht="22" customHeight="1">
      <c r="A188" s="9">
        <f>IF(C188="","",ROW()-1)</f>
        <v/>
      </c>
      <c r="B188" s="10" t="n">
        <v>46135</v>
      </c>
      <c r="C188" s="11" t="inlineStr">
        <is>
          <t>Garden Rangers</t>
        </is>
      </c>
      <c r="D188" s="9" t="inlineStr">
        <is>
          <t>Firmy budowlane</t>
        </is>
      </c>
      <c r="E188" s="9" t="inlineStr">
        <is>
          <t>Sredni (zolty)</t>
        </is>
      </c>
      <c r="F188" s="9" t="n"/>
      <c r="G188" s="11" t="inlineStr">
        <is>
          <t>+48 884 256 233</t>
        </is>
      </c>
      <c r="H188" s="11" t="n"/>
      <c r="I188" s="11" t="n"/>
      <c r="J188" s="11" t="inlineStr">
        <is>
          <t> · Bruzdowa 100a/5</t>
        </is>
      </c>
      <c r="K188" s="11" t="n"/>
      <c r="L188" s="11" t="inlineStr">
        <is>
          <t>Wlasciciel / Fachowiec</t>
        </is>
      </c>
      <c r="M188" s="12" t="n">
        <v>13</v>
      </c>
      <c r="N188" s="13" t="n">
        <v>4.9</v>
      </c>
      <c r="O188" s="9" t="inlineStr">
        <is>
          <t>Google Maps</t>
        </is>
      </c>
      <c r="P188" s="9" t="inlineStr">
        <is>
          <t>Nowa</t>
        </is>
      </c>
      <c r="Q188" s="10" t="n"/>
      <c r="R188" s="10" t="n"/>
      <c r="S188" s="11" t="inlineStr">
        <is>
          <t>[FACHOWIEC - nie klient] Ogrodnik / arch. krajobrazu. Google Maps: 4.9 gw. z 13 opinii.</t>
        </is>
      </c>
      <c r="T188" s="11" t="n"/>
    </row>
    <row r="189" ht="22" customHeight="1">
      <c r="A189" s="9">
        <f>IF(C189="","",ROW()-1)</f>
        <v/>
      </c>
      <c r="B189" s="10" t="n">
        <v>46135</v>
      </c>
      <c r="C189" s="11" t="inlineStr">
        <is>
          <t>Projektowanie Ogrodow i Tarasow - Zielen Bez Granic</t>
        </is>
      </c>
      <c r="D189" s="9" t="inlineStr">
        <is>
          <t>Firmy budowlane</t>
        </is>
      </c>
      <c r="E189" s="9" t="inlineStr">
        <is>
          <t>TOP (zielony)</t>
        </is>
      </c>
      <c r="F189" s="9" t="n"/>
      <c r="G189" s="11" t="inlineStr">
        <is>
          <t>+48 531 560 192</t>
        </is>
      </c>
      <c r="H189" s="11" t="n"/>
      <c r="I189" s="11" t="n"/>
      <c r="J189" s="11" t="inlineStr">
        <is>
          <t> · Jana Rosoła 61A/29</t>
        </is>
      </c>
      <c r="K189" s="11" t="n"/>
      <c r="L189" s="11" t="inlineStr">
        <is>
          <t>Wlasciciel / Fachowiec</t>
        </is>
      </c>
      <c r="M189" s="12" t="n">
        <v>33</v>
      </c>
      <c r="N189" s="13" t="n">
        <v>4.8</v>
      </c>
      <c r="O189" s="9" t="inlineStr">
        <is>
          <t>Google Maps</t>
        </is>
      </c>
      <c r="P189" s="9" t="inlineStr">
        <is>
          <t>Nowa</t>
        </is>
      </c>
      <c r="Q189" s="10" t="n"/>
      <c r="R189" s="10" t="n"/>
      <c r="S189" s="11" t="inlineStr">
        <is>
          <t>[FACHOWIEC - nie klient] Ogrodnik / arch. krajobrazu. Google Maps: 4.8 gw. z 33 opinii.</t>
        </is>
      </c>
      <c r="T189" s="11" t="n"/>
    </row>
    <row r="190" ht="22" customHeight="1">
      <c r="A190" s="9">
        <f>IF(C190="","",ROW()-1)</f>
        <v/>
      </c>
      <c r="B190" s="10" t="n">
        <v>46135</v>
      </c>
      <c r="C190" s="11" t="inlineStr">
        <is>
          <t>Rafał Leniart HYDROIZOLACJE</t>
        </is>
      </c>
      <c r="D190" s="9" t="inlineStr">
        <is>
          <t>Firmy budowlane</t>
        </is>
      </c>
      <c r="E190" s="9" t="inlineStr">
        <is>
          <t>Sredni (zolty)</t>
        </is>
      </c>
      <c r="F190" s="9" t="n"/>
      <c r="G190" s="11" t="inlineStr">
        <is>
          <t>+48 669 797 572</t>
        </is>
      </c>
      <c r="H190" s="11" t="n"/>
      <c r="I190" s="11" t="n"/>
      <c r="J190" s="11" t="inlineStr">
        <is>
          <t>Bobrowiecka 1</t>
        </is>
      </c>
      <c r="K190" s="11" t="n"/>
      <c r="L190" s="11" t="inlineStr">
        <is>
          <t>Wlasciciel / Fachowiec</t>
        </is>
      </c>
      <c r="M190" s="12" t="n">
        <v>14</v>
      </c>
      <c r="N190" s="13" t="n">
        <v>4.8</v>
      </c>
      <c r="O190" s="9" t="inlineStr">
        <is>
          <t>Google Maps</t>
        </is>
      </c>
      <c r="P190" s="9" t="inlineStr">
        <is>
          <t>Nowa</t>
        </is>
      </c>
      <c r="Q190" s="10" t="n"/>
      <c r="R190" s="10" t="n"/>
      <c r="S190" s="11" t="inlineStr">
        <is>
          <t>[FACHOWIEC - nie klient] Hydroizolacja. Google Maps: 4.8 gw. z 14 opinii.</t>
        </is>
      </c>
      <c r="T190" s="11" t="n"/>
    </row>
    <row r="191" ht="22" customHeight="1">
      <c r="A191" s="9">
        <f>IF(C191="","",ROW()-1)</f>
        <v/>
      </c>
      <c r="B191" s="10" t="n">
        <v>46135</v>
      </c>
      <c r="C191" s="11" t="inlineStr">
        <is>
          <t>Hermet System - Hydroizolacje Warszawa</t>
        </is>
      </c>
      <c r="D191" s="9" t="inlineStr">
        <is>
          <t>Firmy budowlane</t>
        </is>
      </c>
      <c r="E191" s="9" t="inlineStr">
        <is>
          <t>TOP (zielony)</t>
        </is>
      </c>
      <c r="F191" s="9" t="n"/>
      <c r="G191" s="11" t="inlineStr">
        <is>
          <t>+48 503 366 555</t>
        </is>
      </c>
      <c r="H191" s="11" t="n"/>
      <c r="I191" s="11" t="n"/>
      <c r="J191" s="11" t="inlineStr">
        <is>
          <t>Ul. Białołecka 253G</t>
        </is>
      </c>
      <c r="K191" s="11" t="n"/>
      <c r="L191" s="11" t="inlineStr">
        <is>
          <t>Wlasciciel / Fachowiec</t>
        </is>
      </c>
      <c r="M191" s="12" t="n">
        <v>33</v>
      </c>
      <c r="N191" s="13" t="n">
        <v>4.6</v>
      </c>
      <c r="O191" s="9" t="inlineStr">
        <is>
          <t>Google Maps</t>
        </is>
      </c>
      <c r="P191" s="9" t="inlineStr">
        <is>
          <t>Nowa</t>
        </is>
      </c>
      <c r="Q191" s="10" t="n"/>
      <c r="R191" s="10" t="n"/>
      <c r="S191" s="11" t="inlineStr">
        <is>
          <t>[FACHOWIEC - nie klient] Hydroizolacja. Google Maps: 4.6 gw. z 33 opinii.</t>
        </is>
      </c>
      <c r="T191" s="11" t="n"/>
    </row>
    <row r="192" ht="22" customHeight="1">
      <c r="A192" s="9">
        <f>IF(C192="","",ROW()-1)</f>
        <v/>
      </c>
      <c r="B192" s="10" t="n">
        <v>46135</v>
      </c>
      <c r="C192" s="11" t="inlineStr">
        <is>
          <t>Hydro-Izo System Hydroizolacje - 25 lat doswiadczenia</t>
        </is>
      </c>
      <c r="D192" s="9" t="inlineStr">
        <is>
          <t>Firmy budowlane</t>
        </is>
      </c>
      <c r="E192" s="9" t="inlineStr">
        <is>
          <t>Sredni (zolty)</t>
        </is>
      </c>
      <c r="F192" s="9" t="n"/>
      <c r="G192" s="11" t="inlineStr">
        <is>
          <t>+48 602 538 116</t>
        </is>
      </c>
      <c r="H192" s="11" t="n"/>
      <c r="I192" s="11" t="n"/>
      <c r="J192" s="11" t="inlineStr">
        <is>
          <t>Polna 40</t>
        </is>
      </c>
      <c r="K192" s="11" t="n"/>
      <c r="L192" s="11" t="inlineStr">
        <is>
          <t>Wlasciciel / Fachowiec</t>
        </is>
      </c>
      <c r="M192" s="12" t="n">
        <v>5</v>
      </c>
      <c r="N192" s="13" t="n">
        <v>5</v>
      </c>
      <c r="O192" s="9" t="inlineStr">
        <is>
          <t>Google Maps</t>
        </is>
      </c>
      <c r="P192" s="9" t="inlineStr">
        <is>
          <t>Nowa</t>
        </is>
      </c>
      <c r="Q192" s="10" t="n"/>
      <c r="R192" s="10" t="n"/>
      <c r="S192" s="11" t="inlineStr">
        <is>
          <t>[FACHOWIEC - nie klient] Hydroizolacja. Google Maps: 5 gw. z 5 opinii.</t>
        </is>
      </c>
      <c r="T192" s="11" t="n"/>
    </row>
    <row r="193" ht="22" customHeight="1">
      <c r="A193" s="9">
        <f>IF(C193="","",ROW()-1)</f>
        <v/>
      </c>
      <c r="B193" s="10" t="n">
        <v>46135</v>
      </c>
      <c r="C193" s="11" t="inlineStr">
        <is>
          <t>Hydroizolacja dachow płaskich</t>
        </is>
      </c>
      <c r="D193" s="9" t="inlineStr">
        <is>
          <t>Firmy budowlane</t>
        </is>
      </c>
      <c r="E193" s="9" t="inlineStr">
        <is>
          <t>Sredni (zolty)</t>
        </is>
      </c>
      <c r="F193" s="9" t="n"/>
      <c r="G193" s="11" t="inlineStr">
        <is>
          <t>+48 536 863 026</t>
        </is>
      </c>
      <c r="H193" s="11" t="n"/>
      <c r="I193" s="11" t="n"/>
      <c r="J193" s="11" t="inlineStr">
        <is>
          <t>Kowienska 24</t>
        </is>
      </c>
      <c r="K193" s="11" t="n"/>
      <c r="L193" s="11" t="inlineStr">
        <is>
          <t>Wlasciciel / Fachowiec</t>
        </is>
      </c>
      <c r="M193" s="12" t="n">
        <v>7</v>
      </c>
      <c r="N193" s="13" t="n">
        <v>5</v>
      </c>
      <c r="O193" s="9" t="inlineStr">
        <is>
          <t>Google Maps</t>
        </is>
      </c>
      <c r="P193" s="9" t="inlineStr">
        <is>
          <t>Nowa</t>
        </is>
      </c>
      <c r="Q193" s="10" t="n"/>
      <c r="R193" s="10" t="n"/>
      <c r="S193" s="11" t="inlineStr">
        <is>
          <t>[FACHOWIEC - nie klient] Hydroizolacja. Google Maps: 5 gw. z 7 opinii.</t>
        </is>
      </c>
      <c r="T193" s="11" t="n"/>
    </row>
    <row r="194" ht="22" customHeight="1">
      <c r="A194" s="9">
        <f>IF(C194="","",ROW()-1)</f>
        <v/>
      </c>
      <c r="B194" s="10" t="n">
        <v>46135</v>
      </c>
      <c r="C194" s="11" t="inlineStr">
        <is>
          <t>Mazowieckie Przedsiebiorstwo Hydroizolacji Kapilar</t>
        </is>
      </c>
      <c r="D194" s="9" t="inlineStr">
        <is>
          <t>Firmy budowlane</t>
        </is>
      </c>
      <c r="E194" s="9" t="inlineStr">
        <is>
          <t>TOP (zielony)</t>
        </is>
      </c>
      <c r="F194" s="9" t="n"/>
      <c r="G194" s="11" t="inlineStr">
        <is>
          <t>+48 517 274 100</t>
        </is>
      </c>
      <c r="H194" s="11" t="n"/>
      <c r="I194" s="11" t="n"/>
      <c r="J194" s="11" t="inlineStr">
        <is>
          <t>gen. Jozefa Zajaczka 9b/59</t>
        </is>
      </c>
      <c r="K194" s="11" t="n"/>
      <c r="L194" s="11" t="inlineStr">
        <is>
          <t>Wlasciciel / Fachowiec</t>
        </is>
      </c>
      <c r="M194" s="12" t="n">
        <v>26</v>
      </c>
      <c r="N194" s="13" t="n">
        <v>5</v>
      </c>
      <c r="O194" s="9" t="inlineStr">
        <is>
          <t>Google Maps</t>
        </is>
      </c>
      <c r="P194" s="9" t="inlineStr">
        <is>
          <t>Nowa</t>
        </is>
      </c>
      <c r="Q194" s="10" t="n"/>
      <c r="R194" s="10" t="n"/>
      <c r="S194" s="11" t="inlineStr">
        <is>
          <t>[FACHOWIEC - nie klient] Hydroizolacja. Google Maps: 5 gw. z 26 opinii.</t>
        </is>
      </c>
      <c r="T194" s="11" t="n"/>
    </row>
    <row r="195" ht="22" customHeight="1">
      <c r="A195" s="9">
        <f>IF(C195="","",ROW()-1)</f>
        <v/>
      </c>
      <c r="B195" s="10" t="n">
        <v>46135</v>
      </c>
      <c r="C195" s="11" t="inlineStr">
        <is>
          <t>Pujer - Jacek Pujer</t>
        </is>
      </c>
      <c r="D195" s="9" t="inlineStr">
        <is>
          <t>Firmy budowlane</t>
        </is>
      </c>
      <c r="E195" s="9" t="inlineStr">
        <is>
          <t>Sredni (zolty)</t>
        </is>
      </c>
      <c r="F195" s="9" t="n"/>
      <c r="G195" s="11" t="inlineStr">
        <is>
          <t>+48 511 066 464</t>
        </is>
      </c>
      <c r="H195" s="11" t="n"/>
      <c r="I195" s="11" t="n"/>
      <c r="J195" s="11" t="inlineStr">
        <is>
          <t>Goławicka 3</t>
        </is>
      </c>
      <c r="K195" s="11" t="n"/>
      <c r="L195" s="11" t="inlineStr">
        <is>
          <t>Wlasciciel / Fachowiec</t>
        </is>
      </c>
      <c r="M195" s="12" t="n">
        <v>12</v>
      </c>
      <c r="N195" s="13" t="n">
        <v>4.9</v>
      </c>
      <c r="O195" s="9" t="inlineStr">
        <is>
          <t>Google Maps</t>
        </is>
      </c>
      <c r="P195" s="9" t="inlineStr">
        <is>
          <t>Nowa</t>
        </is>
      </c>
      <c r="Q195" s="10" t="n"/>
      <c r="R195" s="10" t="n"/>
      <c r="S195" s="11" t="inlineStr">
        <is>
          <t>[FACHOWIEC - nie klient] Hydroizolacja. Google Maps: 4.9 gw. z 12 opinii.</t>
        </is>
      </c>
      <c r="T195" s="11" t="n"/>
    </row>
    <row r="196" ht="22" customHeight="1">
      <c r="A196" s="9">
        <f>IF(C196="","",ROW()-1)</f>
        <v/>
      </c>
      <c r="B196" s="10" t="n">
        <v>46135</v>
      </c>
      <c r="C196" s="11" t="inlineStr">
        <is>
          <t>Waterprus</t>
        </is>
      </c>
      <c r="D196" s="9" t="inlineStr">
        <is>
          <t>Firmy budowlane</t>
        </is>
      </c>
      <c r="E196" s="9" t="inlineStr">
        <is>
          <t>Niski (czerwony)</t>
        </is>
      </c>
      <c r="F196" s="9" t="n"/>
      <c r="G196" s="11" t="inlineStr">
        <is>
          <t>+48 537 945 135</t>
        </is>
      </c>
      <c r="H196" s="11" t="n"/>
      <c r="I196" s="11" t="n"/>
      <c r="J196" s="11" t="inlineStr">
        <is>
          <t>Michała Kleofasa Oginskiego 11/lok. 9</t>
        </is>
      </c>
      <c r="K196" s="11" t="n"/>
      <c r="L196" s="11" t="inlineStr">
        <is>
          <t>Wlasciciel / Fachowiec</t>
        </is>
      </c>
      <c r="M196" s="12" t="n">
        <v>4</v>
      </c>
      <c r="N196" s="13" t="n">
        <v>5</v>
      </c>
      <c r="O196" s="9" t="inlineStr">
        <is>
          <t>Google Maps</t>
        </is>
      </c>
      <c r="P196" s="9" t="inlineStr">
        <is>
          <t>Nowa</t>
        </is>
      </c>
      <c r="Q196" s="10" t="n"/>
      <c r="R196" s="10" t="n"/>
      <c r="S196" s="11" t="inlineStr">
        <is>
          <t>[FACHOWIEC - nie klient] Hydroizolacja. Google Maps: 5 gw. z 4 opinii.</t>
        </is>
      </c>
      <c r="T196" s="11" t="n"/>
    </row>
    <row r="197" ht="22" customHeight="1">
      <c r="A197" s="9">
        <f>IF(C197="","",ROW()-1)</f>
        <v/>
      </c>
      <c r="B197" s="10" t="n">
        <v>46135</v>
      </c>
      <c r="C197" s="11" t="inlineStr">
        <is>
          <t>🏠🏢 DobreDocieplenia - Ocieplenia Elewacji Piaseczno/Warszawa - Termomodernizacja Budynkow Piaseczno/Warszawa</t>
        </is>
      </c>
      <c r="D197" s="9" t="inlineStr">
        <is>
          <t>Firmy budowlane</t>
        </is>
      </c>
      <c r="E197" s="9" t="inlineStr">
        <is>
          <t>TOP (zielony)</t>
        </is>
      </c>
      <c r="F197" s="9" t="n"/>
      <c r="G197" s="11" t="inlineStr">
        <is>
          <t>+48 507 242 542</t>
        </is>
      </c>
      <c r="H197" s="11" t="n"/>
      <c r="I197" s="11" t="n"/>
      <c r="J197" s="11" t="inlineStr">
        <is>
          <t> · Podskarbinska 7</t>
        </is>
      </c>
      <c r="K197" s="11" t="n"/>
      <c r="L197" s="11" t="inlineStr">
        <is>
          <t>Wlasciciel / Fachowiec</t>
        </is>
      </c>
      <c r="M197" s="12" t="n">
        <v>594</v>
      </c>
      <c r="N197" s="13" t="n">
        <v>4.9</v>
      </c>
      <c r="O197" s="9" t="inlineStr">
        <is>
          <t>Google Maps</t>
        </is>
      </c>
      <c r="P197" s="9" t="inlineStr">
        <is>
          <t>Nowa</t>
        </is>
      </c>
      <c r="Q197" s="10" t="n"/>
      <c r="R197" s="10" t="n"/>
      <c r="S197" s="11" t="inlineStr">
        <is>
          <t>[FACHOWIEC - nie klient] Elewacje / docieplenia. Google Maps: 4.9 gw. z 594 opinii.</t>
        </is>
      </c>
      <c r="T197" s="11" t="n"/>
    </row>
    <row r="198" ht="22" customHeight="1">
      <c r="A198" s="9">
        <f>IF(C198="","",ROW()-1)</f>
        <v/>
      </c>
      <c r="B198" s="10" t="n">
        <v>46135</v>
      </c>
      <c r="C198" s="11" t="inlineStr">
        <is>
          <t>Ocieplenia domow, budynkow, poddaszy Warszawa GolBud</t>
        </is>
      </c>
      <c r="D198" s="9" t="inlineStr">
        <is>
          <t>Firmy budowlane</t>
        </is>
      </c>
      <c r="E198" s="9" t="inlineStr">
        <is>
          <t>TOP (zielony)</t>
        </is>
      </c>
      <c r="F198" s="9" t="n"/>
      <c r="G198" s="11" t="inlineStr">
        <is>
          <t>+48 508 792 580</t>
        </is>
      </c>
      <c r="H198" s="11" t="n"/>
      <c r="I198" s="11" t="n"/>
      <c r="J198" s="11" t="inlineStr">
        <is>
          <t>Grojecka 117/24</t>
        </is>
      </c>
      <c r="K198" s="11" t="n"/>
      <c r="L198" s="11" t="inlineStr">
        <is>
          <t>Wlasciciel / Fachowiec</t>
        </is>
      </c>
      <c r="M198" s="12" t="n">
        <v>21</v>
      </c>
      <c r="N198" s="13" t="n">
        <v>5</v>
      </c>
      <c r="O198" s="9" t="inlineStr">
        <is>
          <t>Google Maps</t>
        </is>
      </c>
      <c r="P198" s="9" t="inlineStr">
        <is>
          <t>Nowa</t>
        </is>
      </c>
      <c r="Q198" s="10" t="n"/>
      <c r="R198" s="10" t="n"/>
      <c r="S198" s="11" t="inlineStr">
        <is>
          <t>[FACHOWIEC - nie klient] Elewacje / docieplenia. Google Maps: 5 gw. z 21 opinii.</t>
        </is>
      </c>
      <c r="T198" s="11" t="n"/>
    </row>
    <row r="199" ht="22" customHeight="1">
      <c r="A199" s="9">
        <f>IF(C199="","",ROW()-1)</f>
        <v/>
      </c>
      <c r="B199" s="10" t="n">
        <v>46135</v>
      </c>
      <c r="C199" s="11" t="inlineStr">
        <is>
          <t>WIDO Remonty, Tynki maszynowe, Elewacje, Budowa domow, Wykonczenia wnetrz, Docieplenia, Okna</t>
        </is>
      </c>
      <c r="D199" s="9" t="inlineStr">
        <is>
          <t>Firmy budowlane</t>
        </is>
      </c>
      <c r="E199" s="9" t="inlineStr">
        <is>
          <t>Sredni (zolty)</t>
        </is>
      </c>
      <c r="F199" s="9" t="n"/>
      <c r="G199" s="11" t="inlineStr">
        <is>
          <t>+48 517 945 906</t>
        </is>
      </c>
      <c r="H199" s="11" t="n"/>
      <c r="I199" s="11" t="n"/>
      <c r="J199" s="11" t="inlineStr">
        <is>
          <t>Szwedzka 43</t>
        </is>
      </c>
      <c r="K199" s="11" t="n"/>
      <c r="L199" s="11" t="inlineStr">
        <is>
          <t>Wlasciciel / Fachowiec</t>
        </is>
      </c>
      <c r="M199" s="12" t="n">
        <v>12</v>
      </c>
      <c r="N199" s="13" t="n">
        <v>4</v>
      </c>
      <c r="O199" s="9" t="inlineStr">
        <is>
          <t>Google Maps</t>
        </is>
      </c>
      <c r="P199" s="9" t="inlineStr">
        <is>
          <t>Nowa</t>
        </is>
      </c>
      <c r="Q199" s="10" t="n"/>
      <c r="R199" s="10" t="n"/>
      <c r="S199" s="11" t="inlineStr">
        <is>
          <t>[FACHOWIEC - nie klient] Elewacje / docieplenia. Google Maps: 4 gw. z 12 opinii.</t>
        </is>
      </c>
      <c r="T199" s="11" t="n"/>
    </row>
    <row r="200" ht="22" customHeight="1">
      <c r="A200" s="9">
        <f>IF(C200="","",ROW()-1)</f>
        <v/>
      </c>
      <c r="B200" s="10" t="n">
        <v>46135</v>
      </c>
      <c r="C200" s="11" t="inlineStr">
        <is>
          <t>WI-BUD</t>
        </is>
      </c>
      <c r="D200" s="9" t="inlineStr">
        <is>
          <t>Firmy budowlane</t>
        </is>
      </c>
      <c r="E200" s="9" t="inlineStr">
        <is>
          <t>TOP (zielony)</t>
        </is>
      </c>
      <c r="F200" s="9" t="n"/>
      <c r="G200" s="11" t="inlineStr">
        <is>
          <t>+48 503 501 002</t>
        </is>
      </c>
      <c r="H200" s="11" t="n"/>
      <c r="I200" s="11" t="n"/>
      <c r="J200" s="11" t="inlineStr">
        <is>
          <t>Kosciuszki 20</t>
        </is>
      </c>
      <c r="K200" s="11" t="n"/>
      <c r="L200" s="11" t="inlineStr">
        <is>
          <t>Wlasciciel / Fachowiec</t>
        </is>
      </c>
      <c r="M200" s="12" t="n">
        <v>39</v>
      </c>
      <c r="N200" s="13" t="n">
        <v>4.5</v>
      </c>
      <c r="O200" s="9" t="inlineStr">
        <is>
          <t>Google Maps</t>
        </is>
      </c>
      <c r="P200" s="9" t="inlineStr">
        <is>
          <t>Nowa</t>
        </is>
      </c>
      <c r="Q200" s="10" t="n"/>
      <c r="R200" s="10" t="n"/>
      <c r="S200" s="11" t="inlineStr">
        <is>
          <t>[FACHOWIEC - nie klient] Elewacje / docieplenia. Google Maps: 4.5 gw. z 39 opinii.</t>
        </is>
      </c>
      <c r="T200" s="11" t="n"/>
    </row>
    <row r="201" ht="22" customHeight="1">
      <c r="A201" s="9">
        <f>IF(C201="","",ROW()-1)</f>
        <v/>
      </c>
      <c r="B201" s="10" t="n">
        <v>46135</v>
      </c>
      <c r="C201" s="11" t="inlineStr">
        <is>
          <t>Ocieplenia domow, budynkow, poddaszy Ozarow Mazowiecki GolBud</t>
        </is>
      </c>
      <c r="D201" s="9" t="inlineStr">
        <is>
          <t>Firmy budowlane</t>
        </is>
      </c>
      <c r="E201" s="9" t="inlineStr">
        <is>
          <t>TOP (zielony)</t>
        </is>
      </c>
      <c r="F201" s="9" t="n"/>
      <c r="G201" s="11" t="inlineStr">
        <is>
          <t>+48 797 927 535</t>
        </is>
      </c>
      <c r="H201" s="11" t="n"/>
      <c r="I201" s="11" t="n"/>
      <c r="J201" s="11" t="inlineStr">
        <is>
          <t> · Wincentego Witosa 8a</t>
        </is>
      </c>
      <c r="K201" s="11" t="n"/>
      <c r="L201" s="11" t="inlineStr">
        <is>
          <t>Wlasciciel / Fachowiec</t>
        </is>
      </c>
      <c r="M201" s="12" t="n">
        <v>112</v>
      </c>
      <c r="N201" s="13" t="n">
        <v>4.8</v>
      </c>
      <c r="O201" s="9" t="inlineStr">
        <is>
          <t>Google Maps</t>
        </is>
      </c>
      <c r="P201" s="9" t="inlineStr">
        <is>
          <t>Nowa</t>
        </is>
      </c>
      <c r="Q201" s="10" t="n"/>
      <c r="R201" s="10" t="n"/>
      <c r="S201" s="11" t="inlineStr">
        <is>
          <t>[FACHOWIEC - nie klient] Elewacje / docieplenia. Google Maps: 4.8 gw. z 112 opinii.</t>
        </is>
      </c>
      <c r="T201" s="11" t="n"/>
    </row>
    <row r="202" ht="22" customHeight="1">
      <c r="A202" s="9">
        <f>IF(C202="","",ROW()-1)</f>
        <v/>
      </c>
      <c r="B202" s="10" t="n">
        <v>46135</v>
      </c>
      <c r="C202" s="11" t="inlineStr">
        <is>
          <t>ENERGY GAZ POLSKA</t>
        </is>
      </c>
      <c r="D202" s="9" t="inlineStr">
        <is>
          <t>Firmy budowlane</t>
        </is>
      </c>
      <c r="E202" s="9" t="inlineStr">
        <is>
          <t>TOP (zielony)</t>
        </is>
      </c>
      <c r="F202" s="9" t="n"/>
      <c r="G202" s="11" t="inlineStr">
        <is>
          <t>+48 22 810 00 90</t>
        </is>
      </c>
      <c r="H202" s="11" t="n"/>
      <c r="I202" s="11" t="n"/>
      <c r="J202" s="11" t="inlineStr">
        <is>
          <t> · Ostrobramska 38a</t>
        </is>
      </c>
      <c r="K202" s="11" t="n"/>
      <c r="L202" s="11" t="inlineStr">
        <is>
          <t>Wlasciciel / Fachowiec</t>
        </is>
      </c>
      <c r="M202" s="12" t="n">
        <v>1311</v>
      </c>
      <c r="N202" s="13" t="n">
        <v>4.5</v>
      </c>
      <c r="O202" s="9" t="inlineStr">
        <is>
          <t>Google Maps</t>
        </is>
      </c>
      <c r="P202" s="9" t="inlineStr">
        <is>
          <t>Nowa</t>
        </is>
      </c>
      <c r="Q202" s="10" t="n"/>
      <c r="R202" s="10" t="n"/>
      <c r="S202" s="11" t="inlineStr">
        <is>
          <t>[FACHOWIEC - nie klient] Instalacja gazu. Google Maps: 4.5 gw. z 1311 opinii.</t>
        </is>
      </c>
      <c r="T202" s="11" t="n"/>
    </row>
    <row r="203" ht="22" customHeight="1">
      <c r="A203" s="9">
        <f>IF(C203="","",ROW()-1)</f>
        <v/>
      </c>
      <c r="B203" s="10" t="n">
        <v>46135</v>
      </c>
      <c r="C203" s="11" t="inlineStr">
        <is>
          <t>Auto-Gaz-Mechanika Andrzej Smogorzewski</t>
        </is>
      </c>
      <c r="D203" s="9" t="inlineStr">
        <is>
          <t>Firmy budowlane</t>
        </is>
      </c>
      <c r="E203" s="9" t="inlineStr">
        <is>
          <t>TOP (zielony)</t>
        </is>
      </c>
      <c r="F203" s="9" t="n"/>
      <c r="G203" s="11" t="inlineStr">
        <is>
          <t>+48 604 879 683</t>
        </is>
      </c>
      <c r="H203" s="11" t="n"/>
      <c r="I203" s="11" t="n"/>
      <c r="J203" s="11" t="inlineStr">
        <is>
          <t> · Modlinska 227A</t>
        </is>
      </c>
      <c r="K203" s="11" t="n"/>
      <c r="L203" s="11" t="inlineStr">
        <is>
          <t>Wlasciciel / Fachowiec</t>
        </is>
      </c>
      <c r="M203" s="12" t="n">
        <v>209</v>
      </c>
      <c r="N203" s="13" t="n">
        <v>4.5</v>
      </c>
      <c r="O203" s="9" t="inlineStr">
        <is>
          <t>Google Maps</t>
        </is>
      </c>
      <c r="P203" s="9" t="inlineStr">
        <is>
          <t>Nowa</t>
        </is>
      </c>
      <c r="Q203" s="10" t="n"/>
      <c r="R203" s="10" t="n"/>
      <c r="S203" s="11" t="inlineStr">
        <is>
          <t>[FACHOWIEC - nie klient] Instalacja gazu. Google Maps: 4.5 gw. z 209 opinii.</t>
        </is>
      </c>
      <c r="T203" s="11" t="n"/>
    </row>
    <row r="204" ht="22" customHeight="1">
      <c r="A204" s="9">
        <f>IF(C204="","",ROW()-1)</f>
        <v/>
      </c>
      <c r="B204" s="10" t="n">
        <v>46135</v>
      </c>
      <c r="C204" s="11" t="inlineStr">
        <is>
          <t>Czas LPG</t>
        </is>
      </c>
      <c r="D204" s="9" t="inlineStr">
        <is>
          <t>Firmy budowlane</t>
        </is>
      </c>
      <c r="E204" s="9" t="inlineStr">
        <is>
          <t>TOP (zielony)</t>
        </is>
      </c>
      <c r="F204" s="9" t="n"/>
      <c r="G204" s="11" t="inlineStr">
        <is>
          <t>+48 733 380 380</t>
        </is>
      </c>
      <c r="H204" s="11" t="n"/>
      <c r="I204" s="11" t="n"/>
      <c r="J204" s="11" t="inlineStr">
        <is>
          <t> · Emaliowa 15</t>
        </is>
      </c>
      <c r="K204" s="11" t="n"/>
      <c r="L204" s="11" t="inlineStr">
        <is>
          <t>Wlasciciel / Fachowiec</t>
        </is>
      </c>
      <c r="M204" s="12" t="n">
        <v>743</v>
      </c>
      <c r="N204" s="13" t="n">
        <v>4.7</v>
      </c>
      <c r="O204" s="9" t="inlineStr">
        <is>
          <t>Google Maps</t>
        </is>
      </c>
      <c r="P204" s="9" t="inlineStr">
        <is>
          <t>Nowa</t>
        </is>
      </c>
      <c r="Q204" s="10" t="n"/>
      <c r="R204" s="10" t="n"/>
      <c r="S204" s="11" t="inlineStr">
        <is>
          <t>[FACHOWIEC - nie klient] Instalacja gazu. Google Maps: 4.7 gw. z 743 opinii.</t>
        </is>
      </c>
      <c r="T204" s="11" t="n"/>
    </row>
    <row r="205" ht="22" customHeight="1">
      <c r="A205" s="9">
        <f>IF(C205="","",ROW()-1)</f>
        <v/>
      </c>
      <c r="B205" s="10" t="n">
        <v>46135</v>
      </c>
      <c r="C205" s="11" t="inlineStr">
        <is>
          <t>Wardak - Montaz i serwis LPG Warszawa, Instalacje Gazowe, Auto-Gaz</t>
        </is>
      </c>
      <c r="D205" s="9" t="inlineStr">
        <is>
          <t>Firmy budowlane</t>
        </is>
      </c>
      <c r="E205" s="9" t="inlineStr">
        <is>
          <t>TOP (zielony)</t>
        </is>
      </c>
      <c r="F205" s="9" t="n"/>
      <c r="G205" s="11" t="inlineStr">
        <is>
          <t>+48 604 771 692</t>
        </is>
      </c>
      <c r="H205" s="11" t="n"/>
      <c r="I205" s="11" t="n"/>
      <c r="J205" s="11" t="inlineStr">
        <is>
          <t> · Instalatorow 23</t>
        </is>
      </c>
      <c r="K205" s="11" t="n"/>
      <c r="L205" s="11" t="inlineStr">
        <is>
          <t>Wlasciciel / Fachowiec</t>
        </is>
      </c>
      <c r="M205" s="12" t="n">
        <v>215</v>
      </c>
      <c r="N205" s="13" t="n">
        <v>4.6</v>
      </c>
      <c r="O205" s="9" t="inlineStr">
        <is>
          <t>Google Maps</t>
        </is>
      </c>
      <c r="P205" s="9" t="inlineStr">
        <is>
          <t>Nowa</t>
        </is>
      </c>
      <c r="Q205" s="10" t="n"/>
      <c r="R205" s="10" t="n"/>
      <c r="S205" s="11" t="inlineStr">
        <is>
          <t>[FACHOWIEC - nie klient] Instalacja gazu. Google Maps: 4.6 gw. z 215 opinii.</t>
        </is>
      </c>
      <c r="T205" s="11" t="n"/>
    </row>
    <row r="206" ht="22" customHeight="1">
      <c r="A206" s="9">
        <f>IF(C206="","",ROW()-1)</f>
        <v/>
      </c>
      <c r="B206" s="10" t="n">
        <v>46135</v>
      </c>
      <c r="C206" s="11" t="inlineStr">
        <is>
          <t>Perfekt Auto Gaz Montaz i Serwis LPG</t>
        </is>
      </c>
      <c r="D206" s="9" t="inlineStr">
        <is>
          <t>Firmy budowlane</t>
        </is>
      </c>
      <c r="E206" s="9" t="inlineStr">
        <is>
          <t>TOP (zielony)</t>
        </is>
      </c>
      <c r="F206" s="9" t="n"/>
      <c r="G206" s="11" t="inlineStr">
        <is>
          <t>+48 793 496 896</t>
        </is>
      </c>
      <c r="H206" s="11" t="n"/>
      <c r="I206" s="11" t="n"/>
      <c r="J206" s="11" t="inlineStr">
        <is>
          <t> · Samarytanka 36</t>
        </is>
      </c>
      <c r="K206" s="11" t="n"/>
      <c r="L206" s="11" t="inlineStr">
        <is>
          <t>Wlasciciel / Fachowiec</t>
        </is>
      </c>
      <c r="M206" s="12" t="n">
        <v>155</v>
      </c>
      <c r="N206" s="13" t="n">
        <v>4.9</v>
      </c>
      <c r="O206" s="9" t="inlineStr">
        <is>
          <t>Google Maps</t>
        </is>
      </c>
      <c r="P206" s="9" t="inlineStr">
        <is>
          <t>Nowa</t>
        </is>
      </c>
      <c r="Q206" s="10" t="n"/>
      <c r="R206" s="10" t="n"/>
      <c r="S206" s="11" t="inlineStr">
        <is>
          <t>[FACHOWIEC - nie klient] Instalacja gazu. Google Maps: 4.9 gw. z 155 opinii.</t>
        </is>
      </c>
      <c r="T206" s="11" t="n"/>
    </row>
    <row r="207" ht="22" customHeight="1">
      <c r="A207" s="9">
        <f>IF(C207="","",ROW()-1)</f>
        <v/>
      </c>
      <c r="B207" s="10" t="n">
        <v>46135</v>
      </c>
      <c r="C207" s="11" t="inlineStr">
        <is>
          <t>Montaz- Serwis LPG, Auto Elektryka Elektronika, Auto Gaz Targowek</t>
        </is>
      </c>
      <c r="D207" s="9" t="inlineStr">
        <is>
          <t>Firmy budowlane</t>
        </is>
      </c>
      <c r="E207" s="9" t="inlineStr">
        <is>
          <t>TOP (zielony)</t>
        </is>
      </c>
      <c r="F207" s="9" t="n"/>
      <c r="G207" s="11" t="inlineStr">
        <is>
          <t>+48 601 292 580</t>
        </is>
      </c>
      <c r="H207" s="11" t="n"/>
      <c r="I207" s="11" t="n"/>
      <c r="J207" s="11" t="inlineStr">
        <is>
          <t> · Codzienna 50</t>
        </is>
      </c>
      <c r="K207" s="11" t="n"/>
      <c r="L207" s="11" t="inlineStr">
        <is>
          <t>Wlasciciel / Fachowiec</t>
        </is>
      </c>
      <c r="M207" s="12" t="n">
        <v>204</v>
      </c>
      <c r="N207" s="13" t="n">
        <v>4.7</v>
      </c>
      <c r="O207" s="9" t="inlineStr">
        <is>
          <t>Google Maps</t>
        </is>
      </c>
      <c r="P207" s="9" t="inlineStr">
        <is>
          <t>Nowa</t>
        </is>
      </c>
      <c r="Q207" s="10" t="n"/>
      <c r="R207" s="10" t="n"/>
      <c r="S207" s="11" t="inlineStr">
        <is>
          <t>[FACHOWIEC - nie klient] Instalacja gazu. Google Maps: 4.7 gw. z 204 opinii.</t>
        </is>
      </c>
      <c r="T207" s="11" t="n"/>
    </row>
    <row r="208" ht="22" customHeight="1">
      <c r="A208" s="9">
        <f>IF(C208="","",ROW()-1)</f>
        <v/>
      </c>
      <c r="B208" s="10" t="n">
        <v>46135</v>
      </c>
      <c r="C208" s="11" t="inlineStr">
        <is>
          <t>Montaz Serwis Auto Gazu</t>
        </is>
      </c>
      <c r="D208" s="9" t="inlineStr">
        <is>
          <t>Firmy budowlane</t>
        </is>
      </c>
      <c r="E208" s="9" t="inlineStr">
        <is>
          <t>TOP (zielony)</t>
        </is>
      </c>
      <c r="F208" s="9" t="n"/>
      <c r="G208" s="11" t="inlineStr">
        <is>
          <t>+48 518 604 602</t>
        </is>
      </c>
      <c r="H208" s="11" t="n"/>
      <c r="I208" s="11" t="n"/>
      <c r="J208" s="11" t="inlineStr">
        <is>
          <t> · Trakt Brzeski 79b</t>
        </is>
      </c>
      <c r="K208" s="11" t="n"/>
      <c r="L208" s="11" t="inlineStr">
        <is>
          <t>Wlasciciel / Fachowiec</t>
        </is>
      </c>
      <c r="M208" s="12" t="n">
        <v>292</v>
      </c>
      <c r="N208" s="13" t="n">
        <v>4.8</v>
      </c>
      <c r="O208" s="9" t="inlineStr">
        <is>
          <t>Google Maps</t>
        </is>
      </c>
      <c r="P208" s="9" t="inlineStr">
        <is>
          <t>Nowa</t>
        </is>
      </c>
      <c r="Q208" s="10" t="n"/>
      <c r="R208" s="10" t="n"/>
      <c r="S208" s="11" t="inlineStr">
        <is>
          <t>[FACHOWIEC - nie klient] Instalacja gazu. Google Maps: 4.8 gw. z 292 opinii.</t>
        </is>
      </c>
      <c r="T208" s="11" t="n"/>
    </row>
    <row r="209" ht="22" customHeight="1">
      <c r="A209" s="9">
        <f>IF(C209="","",ROW()-1)</f>
        <v/>
      </c>
      <c r="B209" s="10" t="n">
        <v>46135</v>
      </c>
      <c r="C209" s="11" t="inlineStr">
        <is>
          <t>Pan Hydraulik</t>
        </is>
      </c>
      <c r="D209" s="9" t="inlineStr">
        <is>
          <t>Firmy budowlane</t>
        </is>
      </c>
      <c r="E209" s="9" t="inlineStr">
        <is>
          <t>TOP (zielony)</t>
        </is>
      </c>
      <c r="F209" s="9" t="inlineStr">
        <is>
          <t>Mokotow</t>
        </is>
      </c>
      <c r="G209" s="11" t="inlineStr">
        <is>
          <t>+48 510 000 518</t>
        </is>
      </c>
      <c r="H209" s="11" t="n"/>
      <c r="I209" s="11" t="n"/>
      <c r="J209" s="11" t="inlineStr">
        <is>
          <t>Czerniowiecka 9/59</t>
        </is>
      </c>
      <c r="K209" s="11" t="n"/>
      <c r="L209" s="11" t="inlineStr">
        <is>
          <t>Wlasciciel / Fachowiec</t>
        </is>
      </c>
      <c r="M209" s="12" t="n">
        <v>74</v>
      </c>
      <c r="N209" s="13" t="n">
        <v>4.8</v>
      </c>
      <c r="O209" s="9" t="inlineStr">
        <is>
          <t>Google Maps</t>
        </is>
      </c>
      <c r="P209" s="9" t="inlineStr">
        <is>
          <t>Nowa</t>
        </is>
      </c>
      <c r="Q209" s="10" t="n"/>
      <c r="R209" s="10" t="n"/>
      <c r="S209" s="11" t="inlineStr">
        <is>
          <t>[FACHOWIEC - nie klient] Hydraulik. Google Maps: 4.8 gw. z 74 opinii.</t>
        </is>
      </c>
      <c r="T209" s="11" t="n"/>
    </row>
    <row r="210" ht="22" customHeight="1">
      <c r="A210" s="9">
        <f>IF(C210="","",ROW()-1)</f>
        <v/>
      </c>
      <c r="B210" s="10" t="n">
        <v>46135</v>
      </c>
      <c r="C210" s="11" t="inlineStr">
        <is>
          <t>przepychanie.pl</t>
        </is>
      </c>
      <c r="D210" s="9" t="inlineStr">
        <is>
          <t>Firmy budowlane</t>
        </is>
      </c>
      <c r="E210" s="9" t="inlineStr">
        <is>
          <t>TOP (zielony)</t>
        </is>
      </c>
      <c r="F210" s="9" t="inlineStr">
        <is>
          <t>Mokotow</t>
        </is>
      </c>
      <c r="G210" s="11" t="inlineStr">
        <is>
          <t>+48 660 516 437</t>
        </is>
      </c>
      <c r="H210" s="11" t="n"/>
      <c r="I210" s="11" t="n"/>
      <c r="J210" s="11" t="inlineStr">
        <is>
          <t>Cytrynowa 14</t>
        </is>
      </c>
      <c r="K210" s="11" t="n"/>
      <c r="L210" s="11" t="inlineStr">
        <is>
          <t>Wlasciciel / Fachowiec</t>
        </is>
      </c>
      <c r="M210" s="12" t="n">
        <v>635</v>
      </c>
      <c r="N210" s="13" t="n">
        <v>4.9</v>
      </c>
      <c r="O210" s="9" t="inlineStr">
        <is>
          <t>Google Maps</t>
        </is>
      </c>
      <c r="P210" s="9" t="inlineStr">
        <is>
          <t>Nowa</t>
        </is>
      </c>
      <c r="Q210" s="10" t="n"/>
      <c r="R210" s="10" t="n"/>
      <c r="S210" s="11" t="inlineStr">
        <is>
          <t>[FACHOWIEC - nie klient] Hydraulik. Google Maps: 4.9 gw. z 635 opinii.</t>
        </is>
      </c>
      <c r="T210" s="11" t="n"/>
    </row>
    <row r="211" ht="22" customHeight="1">
      <c r="A211" s="9">
        <f>IF(C211="","",ROW()-1)</f>
        <v/>
      </c>
      <c r="B211" s="10" t="n">
        <v>46135</v>
      </c>
      <c r="C211" s="11" t="inlineStr">
        <is>
          <t>Hydraulik Warszawa</t>
        </is>
      </c>
      <c r="D211" s="9" t="inlineStr">
        <is>
          <t>Firmy budowlane</t>
        </is>
      </c>
      <c r="E211" s="9" t="inlineStr">
        <is>
          <t>TOP (zielony)</t>
        </is>
      </c>
      <c r="F211" s="9" t="inlineStr">
        <is>
          <t>Mokotow</t>
        </is>
      </c>
      <c r="G211" s="11" t="inlineStr">
        <is>
          <t>+48 727 550 815</t>
        </is>
      </c>
      <c r="H211" s="11" t="n"/>
      <c r="I211" s="11" t="n"/>
      <c r="J211" s="11" t="inlineStr">
        <is>
          <t>Bernardynska 1A</t>
        </is>
      </c>
      <c r="K211" s="11" t="n"/>
      <c r="L211" s="11" t="inlineStr">
        <is>
          <t>Wlasciciel / Fachowiec</t>
        </is>
      </c>
      <c r="M211" s="12" t="n">
        <v>35</v>
      </c>
      <c r="N211" s="13" t="n">
        <v>4.1</v>
      </c>
      <c r="O211" s="9" t="inlineStr">
        <is>
          <t>Google Maps</t>
        </is>
      </c>
      <c r="P211" s="9" t="inlineStr">
        <is>
          <t>Nowa</t>
        </is>
      </c>
      <c r="Q211" s="10" t="n"/>
      <c r="R211" s="10" t="n"/>
      <c r="S211" s="11" t="inlineStr">
        <is>
          <t>[FACHOWIEC - nie klient] Hydraulik. Google Maps: 4.1 gw. z 35 opinii.</t>
        </is>
      </c>
      <c r="T211" s="11" t="n"/>
    </row>
    <row r="212" ht="22" customHeight="1">
      <c r="A212" s="9">
        <f>IF(C212="","",ROW()-1)</f>
        <v/>
      </c>
      <c r="B212" s="10" t="n">
        <v>46135</v>
      </c>
      <c r="C212" s="11" t="inlineStr">
        <is>
          <t>Hydrozal Jacek Zalewski</t>
        </is>
      </c>
      <c r="D212" s="9" t="inlineStr">
        <is>
          <t>Firmy budowlane</t>
        </is>
      </c>
      <c r="E212" s="9" t="inlineStr">
        <is>
          <t>TOP (zielony)</t>
        </is>
      </c>
      <c r="F212" s="9" t="inlineStr">
        <is>
          <t>Mokotow</t>
        </is>
      </c>
      <c r="G212" s="11" t="inlineStr">
        <is>
          <t>+48 602 393 186</t>
        </is>
      </c>
      <c r="H212" s="11" t="n"/>
      <c r="I212" s="11" t="n"/>
      <c r="J212" s="11" t="inlineStr">
        <is>
          <t>Czerniakowska 127</t>
        </is>
      </c>
      <c r="K212" s="11" t="n"/>
      <c r="L212" s="11" t="inlineStr">
        <is>
          <t>Wlasciciel / Fachowiec</t>
        </is>
      </c>
      <c r="M212" s="12" t="n">
        <v>41</v>
      </c>
      <c r="N212" s="13" t="n">
        <v>4.9</v>
      </c>
      <c r="O212" s="9" t="inlineStr">
        <is>
          <t>Google Maps</t>
        </is>
      </c>
      <c r="P212" s="9" t="inlineStr">
        <is>
          <t>Nowa</t>
        </is>
      </c>
      <c r="Q212" s="10" t="n"/>
      <c r="R212" s="10" t="n"/>
      <c r="S212" s="11" t="inlineStr">
        <is>
          <t>[FACHOWIEC - nie klient] Hydraulik. Google Maps: 4.9 gw. z 41 opinii.</t>
        </is>
      </c>
      <c r="T212" s="11" t="n"/>
    </row>
    <row r="213" ht="22" customHeight="1">
      <c r="A213" s="9">
        <f>IF(C213="","",ROW()-1)</f>
        <v/>
      </c>
      <c r="B213" s="10" t="n">
        <v>46135</v>
      </c>
      <c r="C213" s="11" t="inlineStr">
        <is>
          <t>Mariusz Antas Marant Pogotowie Hydrauliczne</t>
        </is>
      </c>
      <c r="D213" s="9" t="inlineStr">
        <is>
          <t>Firmy budowlane</t>
        </is>
      </c>
      <c r="E213" s="9" t="inlineStr">
        <is>
          <t>TOP (zielony)</t>
        </is>
      </c>
      <c r="F213" s="9" t="inlineStr">
        <is>
          <t>Mokotow</t>
        </is>
      </c>
      <c r="G213" s="11" t="inlineStr">
        <is>
          <t>+48 668 562 960</t>
        </is>
      </c>
      <c r="H213" s="11" t="n"/>
      <c r="I213" s="11" t="n"/>
      <c r="J213" s="11" t="n"/>
      <c r="K213" s="11" t="n"/>
      <c r="L213" s="11" t="inlineStr">
        <is>
          <t>Wlasciciel / Fachowiec</t>
        </is>
      </c>
      <c r="M213" s="12" t="n">
        <v>137</v>
      </c>
      <c r="N213" s="13" t="n">
        <v>5</v>
      </c>
      <c r="O213" s="9" t="inlineStr">
        <is>
          <t>Google Maps</t>
        </is>
      </c>
      <c r="P213" s="9" t="inlineStr">
        <is>
          <t>Nowa</t>
        </is>
      </c>
      <c r="Q213" s="10" t="n"/>
      <c r="R213" s="10" t="n"/>
      <c r="S213" s="11" t="inlineStr">
        <is>
          <t>[FACHOWIEC - nie klient] Hydraulik. Google Maps: 5 gw. z 137 opinii.</t>
        </is>
      </c>
      <c r="T213" s="11" t="n"/>
    </row>
    <row r="214" ht="22" customHeight="1">
      <c r="A214" s="9">
        <f>IF(C214="","",ROW()-1)</f>
        <v/>
      </c>
      <c r="B214" s="10" t="n">
        <v>46135</v>
      </c>
      <c r="C214" s="11" t="inlineStr">
        <is>
          <t>Hydro-Expert Kamil Bednarzak</t>
        </is>
      </c>
      <c r="D214" s="9" t="inlineStr">
        <is>
          <t>Firmy budowlane</t>
        </is>
      </c>
      <c r="E214" s="9" t="inlineStr">
        <is>
          <t>Sredni (zolty)</t>
        </is>
      </c>
      <c r="F214" s="9" t="inlineStr">
        <is>
          <t>Mokotow</t>
        </is>
      </c>
      <c r="G214" s="11" t="inlineStr">
        <is>
          <t>+48 534 734 038</t>
        </is>
      </c>
      <c r="H214" s="11" t="n"/>
      <c r="I214" s="11" t="n"/>
      <c r="J214" s="11" t="inlineStr">
        <is>
          <t>Czerniakowska 42/149</t>
        </is>
      </c>
      <c r="K214" s="11" t="n"/>
      <c r="L214" s="11" t="inlineStr">
        <is>
          <t>Wlasciciel / Fachowiec</t>
        </is>
      </c>
      <c r="M214" s="12" t="n">
        <v>10</v>
      </c>
      <c r="N214" s="13" t="n">
        <v>4.6</v>
      </c>
      <c r="O214" s="9" t="inlineStr">
        <is>
          <t>Google Maps</t>
        </is>
      </c>
      <c r="P214" s="9" t="inlineStr">
        <is>
          <t>Nowa</t>
        </is>
      </c>
      <c r="Q214" s="10" t="n"/>
      <c r="R214" s="10" t="n"/>
      <c r="S214" s="11" t="inlineStr">
        <is>
          <t>[FACHOWIEC - nie klient] Hydraulik. Google Maps: 4.6 gw. z 10 opinii.</t>
        </is>
      </c>
      <c r="T214" s="11" t="n"/>
    </row>
    <row r="215" ht="22" customHeight="1">
      <c r="A215" s="9">
        <f>IF(C215="","",ROW()-1)</f>
        <v/>
      </c>
      <c r="B215" s="10" t="n">
        <v>46135</v>
      </c>
      <c r="C215" s="11" t="inlineStr">
        <is>
          <t>Hydraulik 24/7-Udraznianie rur-montaz armatury .</t>
        </is>
      </c>
      <c r="D215" s="9" t="inlineStr">
        <is>
          <t>Firmy budowlane</t>
        </is>
      </c>
      <c r="E215" s="9" t="inlineStr">
        <is>
          <t>TOP (zielony)</t>
        </is>
      </c>
      <c r="F215" s="9" t="inlineStr">
        <is>
          <t>Mokotow</t>
        </is>
      </c>
      <c r="G215" s="11" t="inlineStr">
        <is>
          <t>+48 781 652 697</t>
        </is>
      </c>
      <c r="H215" s="11" t="n"/>
      <c r="I215" s="11" t="n"/>
      <c r="J215" s="11" t="inlineStr">
        <is>
          <t>Bolesława Limanowskiego</t>
        </is>
      </c>
      <c r="K215" s="11" t="n"/>
      <c r="L215" s="11" t="inlineStr">
        <is>
          <t>Wlasciciel / Fachowiec</t>
        </is>
      </c>
      <c r="M215" s="12" t="n">
        <v>22</v>
      </c>
      <c r="N215" s="13" t="n">
        <v>5</v>
      </c>
      <c r="O215" s="9" t="inlineStr">
        <is>
          <t>Google Maps</t>
        </is>
      </c>
      <c r="P215" s="9" t="inlineStr">
        <is>
          <t>Nowa</t>
        </is>
      </c>
      <c r="Q215" s="10" t="n"/>
      <c r="R215" s="10" t="n"/>
      <c r="S215" s="11" t="inlineStr">
        <is>
          <t>[FACHOWIEC - nie klient] Hydraulik. Google Maps: 5 gw. z 22 opinii.</t>
        </is>
      </c>
      <c r="T215" s="11" t="n"/>
    </row>
    <row r="216" ht="22" customHeight="1">
      <c r="A216" s="9">
        <f>IF(C216="","",ROW()-1)</f>
        <v/>
      </c>
      <c r="B216" s="10" t="n">
        <v>46135</v>
      </c>
      <c r="C216" s="11" t="inlineStr">
        <is>
          <t>hydraulik Wola</t>
        </is>
      </c>
      <c r="D216" s="9" t="inlineStr">
        <is>
          <t>Firmy budowlane</t>
        </is>
      </c>
      <c r="E216" s="9" t="inlineStr">
        <is>
          <t>Sredni (zolty)</t>
        </is>
      </c>
      <c r="F216" s="9" t="inlineStr">
        <is>
          <t>Wola</t>
        </is>
      </c>
      <c r="G216" s="11" t="inlineStr">
        <is>
          <t>+48 733 323 335</t>
        </is>
      </c>
      <c r="H216" s="11" t="n"/>
      <c r="I216" s="11" t="n"/>
      <c r="J216" s="11" t="inlineStr">
        <is>
          <t>Eustachego Tyszkiewicza 35</t>
        </is>
      </c>
      <c r="K216" s="11" t="n"/>
      <c r="L216" s="11" t="inlineStr">
        <is>
          <t>Wlasciciel / Fachowiec</t>
        </is>
      </c>
      <c r="M216" s="12" t="n">
        <v>16</v>
      </c>
      <c r="N216" s="13" t="n">
        <v>5</v>
      </c>
      <c r="O216" s="9" t="inlineStr">
        <is>
          <t>Google Maps</t>
        </is>
      </c>
      <c r="P216" s="9" t="inlineStr">
        <is>
          <t>Nowa</t>
        </is>
      </c>
      <c r="Q216" s="10" t="n"/>
      <c r="R216" s="10" t="n"/>
      <c r="S216" s="11" t="inlineStr">
        <is>
          <t>[FACHOWIEC - nie klient] Hydraulik. Google Maps: 5 gw. z 16 opinii.</t>
        </is>
      </c>
      <c r="T216" s="11" t="n"/>
    </row>
    <row r="217" ht="22" customHeight="1">
      <c r="A217" s="9">
        <f>IF(C217="","",ROW()-1)</f>
        <v/>
      </c>
      <c r="B217" s="10" t="n">
        <v>46135</v>
      </c>
      <c r="C217" s="11" t="inlineStr">
        <is>
          <t>Hydro-Volt</t>
        </is>
      </c>
      <c r="D217" s="9" t="inlineStr">
        <is>
          <t>Firmy budowlane</t>
        </is>
      </c>
      <c r="E217" s="9" t="inlineStr">
        <is>
          <t>TOP (zielony)</t>
        </is>
      </c>
      <c r="F217" s="9" t="inlineStr">
        <is>
          <t>Wola</t>
        </is>
      </c>
      <c r="G217" s="11" t="inlineStr">
        <is>
          <t>+48 880 200 999</t>
        </is>
      </c>
      <c r="H217" s="11" t="n"/>
      <c r="I217" s="11" t="n"/>
      <c r="J217" s="11" t="n"/>
      <c r="K217" s="11" t="n"/>
      <c r="L217" s="11" t="inlineStr">
        <is>
          <t>Wlasciciel / Fachowiec</t>
        </is>
      </c>
      <c r="M217" s="12" t="n">
        <v>202</v>
      </c>
      <c r="N217" s="13" t="n">
        <v>4.8</v>
      </c>
      <c r="O217" s="9" t="inlineStr">
        <is>
          <t>Google Maps</t>
        </is>
      </c>
      <c r="P217" s="9" t="inlineStr">
        <is>
          <t>Nowa</t>
        </is>
      </c>
      <c r="Q217" s="10" t="n"/>
      <c r="R217" s="10" t="n"/>
      <c r="S217" s="11" t="inlineStr">
        <is>
          <t>[FACHOWIEC - nie klient] Hydraulik. Google Maps: 4.8 gw. z 202 opinii.</t>
        </is>
      </c>
      <c r="T217" s="11" t="n"/>
    </row>
    <row r="218" ht="22" customHeight="1">
      <c r="A218" s="9">
        <f>IF(C218="","",ROW()-1)</f>
        <v/>
      </c>
      <c r="B218" s="10" t="n">
        <v>46135</v>
      </c>
      <c r="C218" s="11" t="inlineStr">
        <is>
          <t>⭐ Pomoc Hydrauliczna</t>
        </is>
      </c>
      <c r="D218" s="9" t="inlineStr">
        <is>
          <t>Firmy budowlane</t>
        </is>
      </c>
      <c r="E218" s="9" t="inlineStr">
        <is>
          <t>TOP (zielony)</t>
        </is>
      </c>
      <c r="F218" s="9" t="inlineStr">
        <is>
          <t>Wola</t>
        </is>
      </c>
      <c r="G218" s="11" t="inlineStr">
        <is>
          <t>+48 22 398 40 30</t>
        </is>
      </c>
      <c r="H218" s="11" t="n"/>
      <c r="I218" s="11" t="n"/>
      <c r="J218" s="11" t="inlineStr">
        <is>
          <t>Bolkowska 2</t>
        </is>
      </c>
      <c r="K218" s="11" t="n"/>
      <c r="L218" s="11" t="inlineStr">
        <is>
          <t>Wlasciciel / Fachowiec</t>
        </is>
      </c>
      <c r="M218" s="12" t="n">
        <v>72</v>
      </c>
      <c r="N218" s="13" t="n">
        <v>4.6</v>
      </c>
      <c r="O218" s="9" t="inlineStr">
        <is>
          <t>Google Maps</t>
        </is>
      </c>
      <c r="P218" s="9" t="inlineStr">
        <is>
          <t>Nowa</t>
        </is>
      </c>
      <c r="Q218" s="10" t="n"/>
      <c r="R218" s="10" t="n"/>
      <c r="S218" s="11" t="inlineStr">
        <is>
          <t>[FACHOWIEC - nie klient] Hydraulik. Google Maps: 4.6 gw. z 72 opinii.</t>
        </is>
      </c>
      <c r="T218" s="11" t="n"/>
    </row>
    <row r="219" ht="22" customHeight="1">
      <c r="A219" s="9">
        <f>IF(C219="","",ROW()-1)</f>
        <v/>
      </c>
      <c r="B219" s="10" t="n">
        <v>46135</v>
      </c>
      <c r="C219" s="11" t="inlineStr">
        <is>
          <t>Hydrauliczny na Bema</t>
        </is>
      </c>
      <c r="D219" s="9" t="inlineStr">
        <is>
          <t>Firmy budowlane</t>
        </is>
      </c>
      <c r="E219" s="9" t="inlineStr">
        <is>
          <t>TOP (zielony)</t>
        </is>
      </c>
      <c r="F219" s="9" t="inlineStr">
        <is>
          <t>Wola</t>
        </is>
      </c>
      <c r="G219" s="11" t="inlineStr">
        <is>
          <t>+48 22 632 59 56</t>
        </is>
      </c>
      <c r="H219" s="11" t="n"/>
      <c r="I219" s="11" t="n"/>
      <c r="J219" s="11" t="inlineStr">
        <is>
          <t> · Jozefa Bema 69/71</t>
        </is>
      </c>
      <c r="K219" s="11" t="n"/>
      <c r="L219" s="11" t="inlineStr">
        <is>
          <t>Wlasciciel / Fachowiec</t>
        </is>
      </c>
      <c r="M219" s="12" t="n">
        <v>42</v>
      </c>
      <c r="N219" s="13" t="n">
        <v>4.8</v>
      </c>
      <c r="O219" s="9" t="inlineStr">
        <is>
          <t>Google Maps</t>
        </is>
      </c>
      <c r="P219" s="9" t="inlineStr">
        <is>
          <t>Nowa</t>
        </is>
      </c>
      <c r="Q219" s="10" t="n"/>
      <c r="R219" s="10" t="n"/>
      <c r="S219" s="11" t="inlineStr">
        <is>
          <t>[FACHOWIEC - nie klient] Hydraulik. Google Maps: 4.8 gw. z 42 opinii.</t>
        </is>
      </c>
      <c r="T219" s="11" t="n"/>
    </row>
    <row r="220" ht="22" customHeight="1">
      <c r="A220" s="9">
        <f>IF(C220="","",ROW()-1)</f>
        <v/>
      </c>
      <c r="B220" s="10" t="n">
        <v>46135</v>
      </c>
      <c r="C220" s="11" t="inlineStr">
        <is>
          <t>STLeVeL</t>
        </is>
      </c>
      <c r="D220" s="9" t="inlineStr">
        <is>
          <t>Firmy budowlane</t>
        </is>
      </c>
      <c r="E220" s="9" t="inlineStr">
        <is>
          <t>Sredni (zolty)</t>
        </is>
      </c>
      <c r="F220" s="9" t="inlineStr">
        <is>
          <t>Wola</t>
        </is>
      </c>
      <c r="G220" s="11" t="inlineStr">
        <is>
          <t>+48 575 747 541</t>
        </is>
      </c>
      <c r="H220" s="11" t="n"/>
      <c r="I220" s="11" t="n"/>
      <c r="J220" s="11" t="inlineStr">
        <is>
          <t>Ksiecia Janusza 15</t>
        </is>
      </c>
      <c r="K220" s="11" t="n"/>
      <c r="L220" s="11" t="inlineStr">
        <is>
          <t>Wlasciciel / Fachowiec</t>
        </is>
      </c>
      <c r="M220" s="12" t="n">
        <v>11</v>
      </c>
      <c r="N220" s="13" t="n">
        <v>5</v>
      </c>
      <c r="O220" s="9" t="inlineStr">
        <is>
          <t>Google Maps</t>
        </is>
      </c>
      <c r="P220" s="9" t="inlineStr">
        <is>
          <t>Nowa</t>
        </is>
      </c>
      <c r="Q220" s="10" t="n"/>
      <c r="R220" s="10" t="n"/>
      <c r="S220" s="11" t="inlineStr">
        <is>
          <t>[FACHOWIEC - nie klient] Hydraulik. Google Maps: 5 gw. z 11 opinii.</t>
        </is>
      </c>
      <c r="T220" s="11" t="n"/>
    </row>
    <row r="221" ht="22" customHeight="1">
      <c r="A221" s="9">
        <f>IF(C221="","",ROW()-1)</f>
        <v/>
      </c>
      <c r="B221" s="10" t="n">
        <v>46135</v>
      </c>
      <c r="C221" s="11" t="inlineStr">
        <is>
          <t>Paweł Krol Usługi Hydrauliczne Hydraulik Ursynow Wilanow</t>
        </is>
      </c>
      <c r="D221" s="9" t="inlineStr">
        <is>
          <t>Firmy budowlane</t>
        </is>
      </c>
      <c r="E221" s="9" t="inlineStr">
        <is>
          <t>Niski (czerwony)</t>
        </is>
      </c>
      <c r="F221" s="9" t="inlineStr">
        <is>
          <t>Ursynow</t>
        </is>
      </c>
      <c r="G221" s="11" t="inlineStr">
        <is>
          <t>+48 513 965 304</t>
        </is>
      </c>
      <c r="H221" s="11" t="n"/>
      <c r="I221" s="11" t="n"/>
      <c r="J221" s="11" t="inlineStr">
        <is>
          <t>Pawła Edmunda Strzeleckiego 6</t>
        </is>
      </c>
      <c r="K221" s="11" t="n"/>
      <c r="L221" s="11" t="inlineStr">
        <is>
          <t>Wlasciciel / Fachowiec</t>
        </is>
      </c>
      <c r="M221" s="12" t="n">
        <v>3</v>
      </c>
      <c r="N221" s="13" t="n">
        <v>1</v>
      </c>
      <c r="O221" s="9" t="inlineStr">
        <is>
          <t>Google Maps</t>
        </is>
      </c>
      <c r="P221" s="9" t="inlineStr">
        <is>
          <t>Nowa</t>
        </is>
      </c>
      <c r="Q221" s="10" t="n"/>
      <c r="R221" s="10" t="n"/>
      <c r="S221" s="11" t="inlineStr">
        <is>
          <t>[FACHOWIEC - nie klient] Hydraulik. Google Maps: 1 gw. z 3 opinii.</t>
        </is>
      </c>
      <c r="T221" s="11" t="n"/>
    </row>
    <row r="222" ht="22" customHeight="1">
      <c r="A222" s="9">
        <f>IF(C222="","",ROW()-1)</f>
        <v/>
      </c>
      <c r="B222" s="10" t="n">
        <v>46135</v>
      </c>
      <c r="C222" s="11" t="inlineStr">
        <is>
          <t>Sani-Bud pogotowie kanalizacyjne 24h</t>
        </is>
      </c>
      <c r="D222" s="9" t="inlineStr">
        <is>
          <t>Firmy budowlane</t>
        </is>
      </c>
      <c r="E222" s="9" t="inlineStr">
        <is>
          <t>Niski (czerwony)</t>
        </is>
      </c>
      <c r="F222" s="9" t="inlineStr">
        <is>
          <t>Ursynow</t>
        </is>
      </c>
      <c r="G222" s="11" t="inlineStr">
        <is>
          <t>+48 690 877 977</t>
        </is>
      </c>
      <c r="H222" s="11" t="n"/>
      <c r="I222" s="11" t="n"/>
      <c r="J222" s="11" t="inlineStr">
        <is>
          <t>Polinezyjska 7/32</t>
        </is>
      </c>
      <c r="K222" s="11" t="n"/>
      <c r="L222" s="11" t="inlineStr">
        <is>
          <t>Wlasciciel / Fachowiec</t>
        </is>
      </c>
      <c r="M222" s="12" t="n">
        <v>1</v>
      </c>
      <c r="N222" s="13" t="n">
        <v>5</v>
      </c>
      <c r="O222" s="9" t="inlineStr">
        <is>
          <t>Google Maps</t>
        </is>
      </c>
      <c r="P222" s="9" t="inlineStr">
        <is>
          <t>Nowa</t>
        </is>
      </c>
      <c r="Q222" s="10" t="n"/>
      <c r="R222" s="10" t="n"/>
      <c r="S222" s="11" t="inlineStr">
        <is>
          <t>[FACHOWIEC - nie klient] Hydraulik. Google Maps: 5 gw. z 1 opinii.</t>
        </is>
      </c>
      <c r="T222" s="11" t="n"/>
    </row>
    <row r="223" ht="22" customHeight="1">
      <c r="A223" s="9">
        <f>IF(C223="","",ROW()-1)</f>
        <v/>
      </c>
      <c r="B223" s="10" t="n">
        <v>46135</v>
      </c>
      <c r="C223" s="11" t="inlineStr">
        <is>
          <t>Hydraf</t>
        </is>
      </c>
      <c r="D223" s="9" t="inlineStr">
        <is>
          <t>Firmy budowlane</t>
        </is>
      </c>
      <c r="E223" s="9" t="inlineStr">
        <is>
          <t>TOP (zielony)</t>
        </is>
      </c>
      <c r="F223" s="9" t="inlineStr">
        <is>
          <t>Ursynow</t>
        </is>
      </c>
      <c r="G223" s="11" t="inlineStr">
        <is>
          <t>+48 22 855 12 55</t>
        </is>
      </c>
      <c r="H223" s="11" t="n"/>
      <c r="I223" s="11" t="n"/>
      <c r="J223" s="11" t="inlineStr">
        <is>
          <t> · Aleksandra Janowskiego 50</t>
        </is>
      </c>
      <c r="K223" s="11" t="n"/>
      <c r="L223" s="11" t="inlineStr">
        <is>
          <t>Wlasciciel / Fachowiec</t>
        </is>
      </c>
      <c r="M223" s="12" t="n">
        <v>142</v>
      </c>
      <c r="N223" s="13" t="n">
        <v>4.9</v>
      </c>
      <c r="O223" s="9" t="inlineStr">
        <is>
          <t>Google Maps</t>
        </is>
      </c>
      <c r="P223" s="9" t="inlineStr">
        <is>
          <t>Nowa</t>
        </is>
      </c>
      <c r="Q223" s="10" t="n"/>
      <c r="R223" s="10" t="n"/>
      <c r="S223" s="11" t="inlineStr">
        <is>
          <t>[FACHOWIEC - nie klient] Hydraulik. Google Maps: 4.9 gw. z 142 opinii.</t>
        </is>
      </c>
      <c r="T223" s="11" t="n"/>
    </row>
    <row r="224" ht="22" customHeight="1">
      <c r="A224" s="9">
        <f>IF(C224="","",ROW()-1)</f>
        <v/>
      </c>
      <c r="B224" s="10" t="n">
        <v>46135</v>
      </c>
      <c r="C224" s="11" t="inlineStr">
        <is>
          <t>Hydroall – Hydraulik 24h Warszawa, Pogotowie Kanalizacyjne</t>
        </is>
      </c>
      <c r="D224" s="9" t="inlineStr">
        <is>
          <t>Firmy budowlane</t>
        </is>
      </c>
      <c r="E224" s="9" t="inlineStr">
        <is>
          <t>TOP (zielony)</t>
        </is>
      </c>
      <c r="F224" s="9" t="inlineStr">
        <is>
          <t>Ursynow</t>
        </is>
      </c>
      <c r="G224" s="11" t="inlineStr">
        <is>
          <t>+48 578 178 343</t>
        </is>
      </c>
      <c r="H224" s="11" t="n"/>
      <c r="I224" s="11" t="n"/>
      <c r="J224" s="11" t="inlineStr">
        <is>
          <t>Jarzabka 26</t>
        </is>
      </c>
      <c r="K224" s="11" t="n"/>
      <c r="L224" s="11" t="inlineStr">
        <is>
          <t>Wlasciciel / Fachowiec</t>
        </is>
      </c>
      <c r="M224" s="12" t="n">
        <v>98</v>
      </c>
      <c r="N224" s="13" t="n">
        <v>5</v>
      </c>
      <c r="O224" s="9" t="inlineStr">
        <is>
          <t>Google Maps</t>
        </is>
      </c>
      <c r="P224" s="9" t="inlineStr">
        <is>
          <t>Nowa</t>
        </is>
      </c>
      <c r="Q224" s="10" t="n"/>
      <c r="R224" s="10" t="n"/>
      <c r="S224" s="11" t="inlineStr">
        <is>
          <t>[FACHOWIEC - nie klient] Hydraulik. Google Maps: 5 gw. z 98 opinii.</t>
        </is>
      </c>
      <c r="T224" s="11" t="n"/>
    </row>
    <row r="225" ht="22" customHeight="1">
      <c r="A225" s="9">
        <f>IF(C225="","",ROW()-1)</f>
        <v/>
      </c>
      <c r="B225" s="10" t="n">
        <v>46135</v>
      </c>
      <c r="C225" s="11" t="inlineStr">
        <is>
          <t>"MS" MICHAŁ SZEWCZYK, INSTALACJE WODNO-KANALIZACYJNE I C.O.</t>
        </is>
      </c>
      <c r="D225" s="9" t="inlineStr">
        <is>
          <t>Firmy budowlane</t>
        </is>
      </c>
      <c r="E225" s="9" t="inlineStr">
        <is>
          <t>Niski (czerwony)</t>
        </is>
      </c>
      <c r="F225" s="9" t="inlineStr">
        <is>
          <t>Ursynow</t>
        </is>
      </c>
      <c r="G225" s="11" t="inlineStr">
        <is>
          <t>+48 691 592 962</t>
        </is>
      </c>
      <c r="H225" s="11" t="n"/>
      <c r="I225" s="11" t="n"/>
      <c r="J225" s="11" t="inlineStr">
        <is>
          <t>Puchaczy 3</t>
        </is>
      </c>
      <c r="K225" s="11" t="n"/>
      <c r="L225" s="11" t="inlineStr">
        <is>
          <t>Wlasciciel / Fachowiec</t>
        </is>
      </c>
      <c r="M225" s="12" t="n">
        <v>1</v>
      </c>
      <c r="N225" s="13" t="n">
        <v>5</v>
      </c>
      <c r="O225" s="9" t="inlineStr">
        <is>
          <t>Google Maps</t>
        </is>
      </c>
      <c r="P225" s="9" t="inlineStr">
        <is>
          <t>Nowa</t>
        </is>
      </c>
      <c r="Q225" s="10" t="n"/>
      <c r="R225" s="10" t="n"/>
      <c r="S225" s="11" t="inlineStr">
        <is>
          <t>[FACHOWIEC - nie klient] Hydraulik. Google Maps: 5 gw. z 1 opinii.</t>
        </is>
      </c>
      <c r="T225" s="11" t="n"/>
    </row>
    <row r="226" ht="22" customHeight="1">
      <c r="A226" s="9">
        <f>IF(C226="","",ROW()-1)</f>
        <v/>
      </c>
      <c r="B226" s="10" t="n">
        <v>46135</v>
      </c>
      <c r="C226" s="11" t="inlineStr">
        <is>
          <t>Hydraulik Warszawa</t>
        </is>
      </c>
      <c r="D226" s="9" t="inlineStr">
        <is>
          <t>Firmy budowlane</t>
        </is>
      </c>
      <c r="E226" s="9" t="inlineStr">
        <is>
          <t>Sredni (zolty)</t>
        </is>
      </c>
      <c r="F226" s="9" t="inlineStr">
        <is>
          <t>Srodmiescie</t>
        </is>
      </c>
      <c r="G226" s="11" t="inlineStr">
        <is>
          <t>+48 730 042 713</t>
        </is>
      </c>
      <c r="H226" s="11" t="n"/>
      <c r="I226" s="11" t="n"/>
      <c r="J226" s="11" t="inlineStr">
        <is>
          <t>Nowogrodzka 8</t>
        </is>
      </c>
      <c r="K226" s="11" t="n"/>
      <c r="L226" s="11" t="inlineStr">
        <is>
          <t>Wlasciciel / Fachowiec</t>
        </is>
      </c>
      <c r="M226" s="12" t="n">
        <v>8</v>
      </c>
      <c r="N226" s="13" t="n">
        <v>5</v>
      </c>
      <c r="O226" s="9" t="inlineStr">
        <is>
          <t>Google Maps</t>
        </is>
      </c>
      <c r="P226" s="9" t="inlineStr">
        <is>
          <t>Nowa</t>
        </is>
      </c>
      <c r="Q226" s="10" t="n"/>
      <c r="R226" s="10" t="n"/>
      <c r="S226" s="11" t="inlineStr">
        <is>
          <t>[FACHOWIEC - nie klient] Hydraulik. Google Maps: 5 gw. z 8 opinii.</t>
        </is>
      </c>
      <c r="T226" s="11" t="n"/>
    </row>
    <row r="227" ht="22" customHeight="1">
      <c r="A227" s="9">
        <f>IF(C227="","",ROW()-1)</f>
        <v/>
      </c>
      <c r="B227" s="10" t="n">
        <v>46135</v>
      </c>
      <c r="C227" s="11" t="inlineStr">
        <is>
          <t>pogotowie-hydrauliczne-24 warszawa</t>
        </is>
      </c>
      <c r="D227" s="9" t="inlineStr">
        <is>
          <t>Firmy budowlane</t>
        </is>
      </c>
      <c r="E227" s="9" t="inlineStr">
        <is>
          <t>Sredni (zolty)</t>
        </is>
      </c>
      <c r="F227" s="9" t="inlineStr">
        <is>
          <t>Srodmiescie</t>
        </is>
      </c>
      <c r="G227" s="11" t="inlineStr">
        <is>
          <t>+48 518 498 302</t>
        </is>
      </c>
      <c r="H227" s="11" t="n"/>
      <c r="I227" s="11" t="n"/>
      <c r="J227" s="11" t="inlineStr">
        <is>
          <t>Wspolna</t>
        </is>
      </c>
      <c r="K227" s="11" t="n"/>
      <c r="L227" s="11" t="inlineStr">
        <is>
          <t>Wlasciciel / Fachowiec</t>
        </is>
      </c>
      <c r="M227" s="12" t="n">
        <v>13</v>
      </c>
      <c r="N227" s="13" t="n">
        <v>4.1</v>
      </c>
      <c r="O227" s="9" t="inlineStr">
        <is>
          <t>Google Maps</t>
        </is>
      </c>
      <c r="P227" s="9" t="inlineStr">
        <is>
          <t>Nowa</t>
        </is>
      </c>
      <c r="Q227" s="10" t="n"/>
      <c r="R227" s="10" t="n"/>
      <c r="S227" s="11" t="inlineStr">
        <is>
          <t>[FACHOWIEC - nie klient] Hydraulik. Google Maps: 4.1 gw. z 13 opinii.</t>
        </is>
      </c>
      <c r="T227" s="11" t="n"/>
    </row>
    <row r="228" ht="22" customHeight="1">
      <c r="A228" s="9">
        <f>IF(C228="","",ROW()-1)</f>
        <v/>
      </c>
      <c r="B228" s="10" t="n">
        <v>46135</v>
      </c>
      <c r="C228" s="11" t="inlineStr">
        <is>
          <t>Hydraulik-Novator Sebastian Liszaj</t>
        </is>
      </c>
      <c r="D228" s="9" t="inlineStr">
        <is>
          <t>Firmy budowlane</t>
        </is>
      </c>
      <c r="E228" s="9" t="inlineStr">
        <is>
          <t>TOP (zielony)</t>
        </is>
      </c>
      <c r="F228" s="9" t="inlineStr">
        <is>
          <t>Srodmiescie</t>
        </is>
      </c>
      <c r="G228" s="11" t="inlineStr">
        <is>
          <t>+48 533 380 470</t>
        </is>
      </c>
      <c r="H228" s="11" t="n"/>
      <c r="I228" s="11" t="n"/>
      <c r="J228" s="11" t="inlineStr">
        <is>
          <t>Al. Solidarnosci 68/3</t>
        </is>
      </c>
      <c r="K228" s="11" t="n"/>
      <c r="L228" s="11" t="inlineStr">
        <is>
          <t>Wlasciciel / Fachowiec</t>
        </is>
      </c>
      <c r="M228" s="12" t="n">
        <v>41</v>
      </c>
      <c r="N228" s="13" t="n">
        <v>4.8</v>
      </c>
      <c r="O228" s="9" t="inlineStr">
        <is>
          <t>Google Maps</t>
        </is>
      </c>
      <c r="P228" s="9" t="inlineStr">
        <is>
          <t>Nowa</t>
        </is>
      </c>
      <c r="Q228" s="10" t="n"/>
      <c r="R228" s="10" t="n"/>
      <c r="S228" s="11" t="inlineStr">
        <is>
          <t>[FACHOWIEC - nie klient] Hydraulik. Google Maps: 4.8 gw. z 41 opinii.</t>
        </is>
      </c>
      <c r="T228" s="11" t="n"/>
    </row>
    <row r="229" ht="22" customHeight="1">
      <c r="A229" s="9">
        <f>IF(C229="","",ROW()-1)</f>
        <v/>
      </c>
      <c r="B229" s="10" t="n">
        <v>46135</v>
      </c>
      <c r="C229" s="11" t="inlineStr">
        <is>
          <t>Duer 24h</t>
        </is>
      </c>
      <c r="D229" s="9" t="inlineStr">
        <is>
          <t>Firmy budowlane</t>
        </is>
      </c>
      <c r="E229" s="9" t="inlineStr">
        <is>
          <t>TOP (zielony)</t>
        </is>
      </c>
      <c r="F229" s="9" t="inlineStr">
        <is>
          <t>Praga-Poludnie</t>
        </is>
      </c>
      <c r="G229" s="11" t="inlineStr">
        <is>
          <t>+48 573 380 927</t>
        </is>
      </c>
      <c r="H229" s="11" t="n"/>
      <c r="I229" s="11" t="n"/>
      <c r="J229" s="11" t="inlineStr">
        <is>
          <t>Meksykanska 6/31</t>
        </is>
      </c>
      <c r="K229" s="11" t="n"/>
      <c r="L229" s="11" t="inlineStr">
        <is>
          <t>Wlasciciel / Fachowiec</t>
        </is>
      </c>
      <c r="M229" s="12" t="n">
        <v>26</v>
      </c>
      <c r="N229" s="13" t="n">
        <v>4.7</v>
      </c>
      <c r="O229" s="9" t="inlineStr">
        <is>
          <t>Google Maps</t>
        </is>
      </c>
      <c r="P229" s="9" t="inlineStr">
        <is>
          <t>Nowa</t>
        </is>
      </c>
      <c r="Q229" s="10" t="n"/>
      <c r="R229" s="10" t="n"/>
      <c r="S229" s="11" t="inlineStr">
        <is>
          <t>[FACHOWIEC - nie klient] Hydraulik. Google Maps: 4.7 gw. z 26 opinii.</t>
        </is>
      </c>
      <c r="T229" s="11" t="n"/>
    </row>
    <row r="230" ht="22" customHeight="1">
      <c r="A230" s="9">
        <f>IF(C230="","",ROW()-1)</f>
        <v/>
      </c>
      <c r="B230" s="10" t="n">
        <v>46135</v>
      </c>
      <c r="C230" s="11" t="inlineStr">
        <is>
          <t>Hydro-Kret s.c.</t>
        </is>
      </c>
      <c r="D230" s="9" t="inlineStr">
        <is>
          <t>Firmy budowlane</t>
        </is>
      </c>
      <c r="E230" s="9" t="inlineStr">
        <is>
          <t>TOP (zielony)</t>
        </is>
      </c>
      <c r="F230" s="9" t="inlineStr">
        <is>
          <t>Praga-Poludnie</t>
        </is>
      </c>
      <c r="G230" s="11" t="inlineStr">
        <is>
          <t>+48 602 252 935</t>
        </is>
      </c>
      <c r="H230" s="11" t="n"/>
      <c r="I230" s="11" t="n"/>
      <c r="J230" s="11" t="inlineStr">
        <is>
          <t>Ludwika Mycielskiego 22/49</t>
        </is>
      </c>
      <c r="K230" s="11" t="n"/>
      <c r="L230" s="11" t="inlineStr">
        <is>
          <t>Wlasciciel / Fachowiec</t>
        </is>
      </c>
      <c r="M230" s="12" t="n">
        <v>21</v>
      </c>
      <c r="N230" s="13" t="n">
        <v>4.4</v>
      </c>
      <c r="O230" s="9" t="inlineStr">
        <is>
          <t>Google Maps</t>
        </is>
      </c>
      <c r="P230" s="9" t="inlineStr">
        <is>
          <t>Nowa</t>
        </is>
      </c>
      <c r="Q230" s="10" t="n"/>
      <c r="R230" s="10" t="n"/>
      <c r="S230" s="11" t="inlineStr">
        <is>
          <t>[FACHOWIEC - nie klient] Hydraulik. Google Maps: 4.4 gw. z 21 opinii.</t>
        </is>
      </c>
      <c r="T230" s="11" t="n"/>
    </row>
    <row r="231" ht="22" customHeight="1">
      <c r="A231" s="9">
        <f>IF(C231="","",ROW()-1)</f>
        <v/>
      </c>
      <c r="B231" s="10" t="n">
        <v>46135</v>
      </c>
      <c r="C231" s="11" t="inlineStr">
        <is>
          <t>Dariusz Wyrzykowski</t>
        </is>
      </c>
      <c r="D231" s="9" t="inlineStr">
        <is>
          <t>Firmy budowlane</t>
        </is>
      </c>
      <c r="E231" s="9" t="inlineStr">
        <is>
          <t>TOP (zielony)</t>
        </is>
      </c>
      <c r="F231" s="9" t="inlineStr">
        <is>
          <t>Bialoleka</t>
        </is>
      </c>
      <c r="G231" s="11" t="inlineStr">
        <is>
          <t>+48 602 304 544</t>
        </is>
      </c>
      <c r="H231" s="11" t="n"/>
      <c r="I231" s="11" t="n"/>
      <c r="J231" s="11" t="inlineStr">
        <is>
          <t>Pancera 8/50</t>
        </is>
      </c>
      <c r="K231" s="11" t="n"/>
      <c r="L231" s="11" t="inlineStr">
        <is>
          <t>Wlasciciel / Fachowiec</t>
        </is>
      </c>
      <c r="M231" s="12" t="n">
        <v>131</v>
      </c>
      <c r="N231" s="13" t="n">
        <v>4</v>
      </c>
      <c r="O231" s="9" t="inlineStr">
        <is>
          <t>Google Maps</t>
        </is>
      </c>
      <c r="P231" s="9" t="inlineStr">
        <is>
          <t>Nowa</t>
        </is>
      </c>
      <c r="Q231" s="10" t="n"/>
      <c r="R231" s="10" t="n"/>
      <c r="S231" s="11" t="inlineStr">
        <is>
          <t>[FACHOWIEC - nie klient] Hydraulik. Google Maps: 4 gw. z 131 opinii.</t>
        </is>
      </c>
      <c r="T231" s="11" t="n"/>
    </row>
    <row r="232" ht="22" customHeight="1">
      <c r="A232" s="9">
        <f>IF(C232="","",ROW()-1)</f>
        <v/>
      </c>
      <c r="B232" s="10" t="n">
        <v>46135</v>
      </c>
      <c r="C232" s="11" t="inlineStr">
        <is>
          <t>Hydraulik Łukasz</t>
        </is>
      </c>
      <c r="D232" s="9" t="inlineStr">
        <is>
          <t>Firmy budowlane</t>
        </is>
      </c>
      <c r="E232" s="9" t="inlineStr">
        <is>
          <t>TOP (zielony)</t>
        </is>
      </c>
      <c r="F232" s="9" t="inlineStr">
        <is>
          <t>Bialoleka</t>
        </is>
      </c>
      <c r="G232" s="11" t="inlineStr">
        <is>
          <t>+48 510 555 721</t>
        </is>
      </c>
      <c r="H232" s="11" t="n"/>
      <c r="I232" s="11" t="n"/>
      <c r="J232" s="11" t="inlineStr">
        <is>
          <t>Swiatowida 51</t>
        </is>
      </c>
      <c r="K232" s="11" t="n"/>
      <c r="L232" s="11" t="inlineStr">
        <is>
          <t>Wlasciciel / Fachowiec</t>
        </is>
      </c>
      <c r="M232" s="12" t="n">
        <v>40</v>
      </c>
      <c r="N232" s="13" t="n">
        <v>5</v>
      </c>
      <c r="O232" s="9" t="inlineStr">
        <is>
          <t>Google Maps</t>
        </is>
      </c>
      <c r="P232" s="9" t="inlineStr">
        <is>
          <t>Nowa</t>
        </is>
      </c>
      <c r="Q232" s="10" t="n"/>
      <c r="R232" s="10" t="n"/>
      <c r="S232" s="11" t="inlineStr">
        <is>
          <t>[FACHOWIEC - nie klient] Hydraulik. Google Maps: 5 gw. z 40 opinii.</t>
        </is>
      </c>
      <c r="T232" s="11" t="n"/>
    </row>
    <row r="233" ht="22" customHeight="1">
      <c r="A233" s="9">
        <f>IF(C233="","",ROW()-1)</f>
        <v/>
      </c>
      <c r="B233" s="10" t="n">
        <v>46135</v>
      </c>
      <c r="C233" s="11" t="inlineStr">
        <is>
          <t>Hydraulik - Mateusz Rozycki</t>
        </is>
      </c>
      <c r="D233" s="9" t="inlineStr">
        <is>
          <t>Firmy budowlane</t>
        </is>
      </c>
      <c r="E233" s="9" t="inlineStr">
        <is>
          <t>TOP (zielony)</t>
        </is>
      </c>
      <c r="F233" s="9" t="inlineStr">
        <is>
          <t>Bialoleka</t>
        </is>
      </c>
      <c r="G233" s="11" t="inlineStr">
        <is>
          <t>+48 514 424 478</t>
        </is>
      </c>
      <c r="H233" s="11" t="n"/>
      <c r="I233" s="11" t="n"/>
      <c r="J233" s="11" t="inlineStr">
        <is>
          <t>Piknikowa 171</t>
        </is>
      </c>
      <c r="K233" s="11" t="n"/>
      <c r="L233" s="11" t="inlineStr">
        <is>
          <t>Wlasciciel / Fachowiec</t>
        </is>
      </c>
      <c r="M233" s="12" t="n">
        <v>25</v>
      </c>
      <c r="N233" s="13" t="n">
        <v>5</v>
      </c>
      <c r="O233" s="9" t="inlineStr">
        <is>
          <t>Google Maps</t>
        </is>
      </c>
      <c r="P233" s="9" t="inlineStr">
        <is>
          <t>Nowa</t>
        </is>
      </c>
      <c r="Q233" s="10" t="n"/>
      <c r="R233" s="10" t="n"/>
      <c r="S233" s="11" t="inlineStr">
        <is>
          <t>[FACHOWIEC - nie klient] Hydraulik. Google Maps: 5 gw. z 25 opinii.</t>
        </is>
      </c>
      <c r="T233" s="11" t="n"/>
    </row>
    <row r="234" ht="22" customHeight="1">
      <c r="A234" s="9">
        <f>IF(C234="","",ROW()-1)</f>
        <v/>
      </c>
      <c r="B234" s="10" t="n">
        <v>46135</v>
      </c>
      <c r="C234" s="11" t="inlineStr">
        <is>
          <t>Tophydraulik24.pl</t>
        </is>
      </c>
      <c r="D234" s="9" t="inlineStr">
        <is>
          <t>Firmy budowlane</t>
        </is>
      </c>
      <c r="E234" s="9" t="inlineStr">
        <is>
          <t>Niski (czerwony)</t>
        </is>
      </c>
      <c r="F234" s="9" t="inlineStr">
        <is>
          <t>Bialoleka</t>
        </is>
      </c>
      <c r="G234" s="11" t="inlineStr">
        <is>
          <t>+48 733 101 144</t>
        </is>
      </c>
      <c r="H234" s="11" t="n"/>
      <c r="I234" s="11" t="n"/>
      <c r="J234" s="11" t="inlineStr">
        <is>
          <t>Brzozowy Zagajnik 11</t>
        </is>
      </c>
      <c r="K234" s="11" t="n"/>
      <c r="L234" s="11" t="inlineStr">
        <is>
          <t>Wlasciciel / Fachowiec</t>
        </is>
      </c>
      <c r="M234" s="12" t="n">
        <v>1</v>
      </c>
      <c r="N234" s="13" t="n">
        <v>5</v>
      </c>
      <c r="O234" s="9" t="inlineStr">
        <is>
          <t>Google Maps</t>
        </is>
      </c>
      <c r="P234" s="9" t="inlineStr">
        <is>
          <t>Nowa</t>
        </is>
      </c>
      <c r="Q234" s="10" t="n"/>
      <c r="R234" s="10" t="n"/>
      <c r="S234" s="11" t="inlineStr">
        <is>
          <t>[FACHOWIEC - nie klient] Hydraulik. Google Maps: 5 gw. z 1 opinii.</t>
        </is>
      </c>
      <c r="T234" s="11" t="n"/>
    </row>
    <row r="235" ht="22" customHeight="1">
      <c r="A235" s="9">
        <f>IF(C235="","",ROW()-1)</f>
        <v/>
      </c>
      <c r="B235" s="10" t="n">
        <v>46135</v>
      </c>
      <c r="C235" s="11" t="inlineStr">
        <is>
          <t>HYDRAULIK Usługi Instalacyjno-Hydrauliczne Montaz klimatyzacji</t>
        </is>
      </c>
      <c r="D235" s="9" t="inlineStr">
        <is>
          <t>Firmy budowlane</t>
        </is>
      </c>
      <c r="E235" s="9" t="inlineStr">
        <is>
          <t>TOP (zielony)</t>
        </is>
      </c>
      <c r="F235" s="9" t="inlineStr">
        <is>
          <t>Bialoleka</t>
        </is>
      </c>
      <c r="G235" s="11" t="inlineStr">
        <is>
          <t>+48 508 599 906</t>
        </is>
      </c>
      <c r="H235" s="11" t="n"/>
      <c r="I235" s="11" t="n"/>
      <c r="J235" s="11" t="inlineStr">
        <is>
          <t>Wartka 11</t>
        </is>
      </c>
      <c r="K235" s="11" t="n"/>
      <c r="L235" s="11" t="inlineStr">
        <is>
          <t>Wlasciciel / Fachowiec</t>
        </is>
      </c>
      <c r="M235" s="12" t="n">
        <v>24</v>
      </c>
      <c r="N235" s="13" t="n">
        <v>5</v>
      </c>
      <c r="O235" s="9" t="inlineStr">
        <is>
          <t>Google Maps</t>
        </is>
      </c>
      <c r="P235" s="9" t="inlineStr">
        <is>
          <t>Nowa</t>
        </is>
      </c>
      <c r="Q235" s="10" t="n"/>
      <c r="R235" s="10" t="n"/>
      <c r="S235" s="11" t="inlineStr">
        <is>
          <t>[FACHOWIEC - nie klient] Hydraulik. Google Maps: 5 gw. z 24 opinii.</t>
        </is>
      </c>
      <c r="T235" s="11" t="n"/>
    </row>
    <row r="236" ht="22" customHeight="1">
      <c r="A236" s="9">
        <f>IF(C236="","",ROW()-1)</f>
        <v/>
      </c>
      <c r="B236" s="10" t="n">
        <v>46135</v>
      </c>
      <c r="C236" s="11" t="inlineStr">
        <is>
          <t>AQUOS PLUS Hydraulik Gazownik Warszawa</t>
        </is>
      </c>
      <c r="D236" s="9" t="inlineStr">
        <is>
          <t>Firmy budowlane</t>
        </is>
      </c>
      <c r="E236" s="9" t="inlineStr">
        <is>
          <t>TOP (zielony)</t>
        </is>
      </c>
      <c r="F236" s="9" t="inlineStr">
        <is>
          <t>Bialoleka</t>
        </is>
      </c>
      <c r="G236" s="11" t="inlineStr">
        <is>
          <t>+48 501 690 900</t>
        </is>
      </c>
      <c r="H236" s="11" t="n"/>
      <c r="I236" s="11" t="n"/>
      <c r="J236" s="11" t="inlineStr">
        <is>
          <t>Krasnobrodzka 19</t>
        </is>
      </c>
      <c r="K236" s="11" t="n"/>
      <c r="L236" s="11" t="inlineStr">
        <is>
          <t>Wlasciciel / Fachowiec</t>
        </is>
      </c>
      <c r="M236" s="12" t="n">
        <v>222</v>
      </c>
      <c r="N236" s="13" t="n">
        <v>4.4</v>
      </c>
      <c r="O236" s="9" t="inlineStr">
        <is>
          <t>Google Maps</t>
        </is>
      </c>
      <c r="P236" s="9" t="inlineStr">
        <is>
          <t>Nowa</t>
        </is>
      </c>
      <c r="Q236" s="10" t="n"/>
      <c r="R236" s="10" t="n"/>
      <c r="S236" s="11" t="inlineStr">
        <is>
          <t>[FACHOWIEC - nie klient] Hydraulik. Google Maps: 4.4 gw. z 222 opinii.</t>
        </is>
      </c>
      <c r="T236" s="11" t="n"/>
    </row>
    <row r="237" ht="22" customHeight="1">
      <c r="A237" s="9">
        <f>IF(C237="","",ROW()-1)</f>
        <v/>
      </c>
      <c r="B237" s="10" t="n">
        <v>46135</v>
      </c>
      <c r="C237" s="11" t="inlineStr">
        <is>
          <t>Fachmark</t>
        </is>
      </c>
      <c r="D237" s="9" t="inlineStr">
        <is>
          <t>Firmy budowlane</t>
        </is>
      </c>
      <c r="E237" s="9" t="inlineStr">
        <is>
          <t>TOP (zielony)</t>
        </is>
      </c>
      <c r="F237" s="9" t="inlineStr">
        <is>
          <t>Bielany</t>
        </is>
      </c>
      <c r="G237" s="11" t="inlineStr">
        <is>
          <t>+48 693 022 410</t>
        </is>
      </c>
      <c r="H237" s="11" t="n"/>
      <c r="I237" s="11" t="n"/>
      <c r="J237" s="11" t="inlineStr">
        <is>
          <t>Stefana Zeromskiego 44/50/m.9</t>
        </is>
      </c>
      <c r="K237" s="11" t="n"/>
      <c r="L237" s="11" t="inlineStr">
        <is>
          <t>Wlasciciel / Fachowiec</t>
        </is>
      </c>
      <c r="M237" s="12" t="n">
        <v>80</v>
      </c>
      <c r="N237" s="13" t="n">
        <v>5</v>
      </c>
      <c r="O237" s="9" t="inlineStr">
        <is>
          <t>Google Maps</t>
        </is>
      </c>
      <c r="P237" s="9" t="inlineStr">
        <is>
          <t>Nowa</t>
        </is>
      </c>
      <c r="Q237" s="10" t="n"/>
      <c r="R237" s="10" t="n"/>
      <c r="S237" s="11" t="inlineStr">
        <is>
          <t>[FACHOWIEC - nie klient] Hydraulik. Google Maps: 5 gw. z 80 opinii.</t>
        </is>
      </c>
      <c r="T237" s="11" t="n"/>
    </row>
    <row r="238" ht="22" customHeight="1">
      <c r="A238" s="9">
        <f>IF(C238="","",ROW()-1)</f>
        <v/>
      </c>
      <c r="B238" s="10" t="n">
        <v>46135</v>
      </c>
      <c r="C238" s="11" t="inlineStr">
        <is>
          <t>Instalatorstwo Sanitarne Piotr Koszerny</t>
        </is>
      </c>
      <c r="D238" s="9" t="inlineStr">
        <is>
          <t>Firmy budowlane</t>
        </is>
      </c>
      <c r="E238" s="9" t="inlineStr">
        <is>
          <t>TOP (zielony)</t>
        </is>
      </c>
      <c r="F238" s="9" t="inlineStr">
        <is>
          <t>Bielany</t>
        </is>
      </c>
      <c r="G238" s="11" t="inlineStr">
        <is>
          <t>+48 510 532 708</t>
        </is>
      </c>
      <c r="H238" s="11" t="n"/>
      <c r="I238" s="11" t="n"/>
      <c r="J238" s="11" t="inlineStr">
        <is>
          <t>Heroldow 21G/11</t>
        </is>
      </c>
      <c r="K238" s="11" t="n"/>
      <c r="L238" s="11" t="inlineStr">
        <is>
          <t>Wlasciciel / Fachowiec</t>
        </is>
      </c>
      <c r="M238" s="12" t="n">
        <v>54</v>
      </c>
      <c r="N238" s="13" t="n">
        <v>4.9</v>
      </c>
      <c r="O238" s="9" t="inlineStr">
        <is>
          <t>Google Maps</t>
        </is>
      </c>
      <c r="P238" s="9" t="inlineStr">
        <is>
          <t>Nowa</t>
        </is>
      </c>
      <c r="Q238" s="10" t="n"/>
      <c r="R238" s="10" t="n"/>
      <c r="S238" s="11" t="inlineStr">
        <is>
          <t>[FACHOWIEC - nie klient] Hydraulik. Google Maps: 4.9 gw. z 54 opinii.</t>
        </is>
      </c>
      <c r="T238" s="11" t="n"/>
    </row>
    <row r="239" ht="22" customHeight="1">
      <c r="A239" s="9">
        <f>IF(C239="","",ROW()-1)</f>
        <v/>
      </c>
      <c r="B239" s="10" t="n">
        <v>46135</v>
      </c>
      <c r="C239" s="11" t="inlineStr">
        <is>
          <t>Pogotowie kanalizacyjne hydrauliczne 24h</t>
        </is>
      </c>
      <c r="D239" s="9" t="inlineStr">
        <is>
          <t>Firmy budowlane</t>
        </is>
      </c>
      <c r="E239" s="9" t="inlineStr">
        <is>
          <t>Sredni (zolty)</t>
        </is>
      </c>
      <c r="F239" s="9" t="inlineStr">
        <is>
          <t>Bielany</t>
        </is>
      </c>
      <c r="G239" s="11" t="inlineStr">
        <is>
          <t>+48 669 061 865</t>
        </is>
      </c>
      <c r="H239" s="11" t="n"/>
      <c r="I239" s="11" t="n"/>
      <c r="J239" s="11" t="inlineStr">
        <is>
          <t>Antoniego Magiera 16/m.12</t>
        </is>
      </c>
      <c r="K239" s="11" t="n"/>
      <c r="L239" s="11" t="inlineStr">
        <is>
          <t>Wlasciciel / Fachowiec</t>
        </is>
      </c>
      <c r="M239" s="12" t="n">
        <v>7</v>
      </c>
      <c r="N239" s="13" t="n">
        <v>5</v>
      </c>
      <c r="O239" s="9" t="inlineStr">
        <is>
          <t>Google Maps</t>
        </is>
      </c>
      <c r="P239" s="9" t="inlineStr">
        <is>
          <t>Nowa</t>
        </is>
      </c>
      <c r="Q239" s="10" t="n"/>
      <c r="R239" s="10" t="n"/>
      <c r="S239" s="11" t="inlineStr">
        <is>
          <t>[FACHOWIEC - nie klient] Hydraulik. Google Maps: 5 gw. z 7 opinii.</t>
        </is>
      </c>
      <c r="T239" s="11" t="n"/>
    </row>
    <row r="240" ht="22" customHeight="1">
      <c r="A240" s="9">
        <f>IF(C240="","",ROW()-1)</f>
        <v/>
      </c>
      <c r="B240" s="10" t="n">
        <v>46135</v>
      </c>
      <c r="C240" s="11" t="inlineStr">
        <is>
          <t>AGINSTALACJE</t>
        </is>
      </c>
      <c r="D240" s="9" t="inlineStr">
        <is>
          <t>Firmy budowlane</t>
        </is>
      </c>
      <c r="E240" s="9" t="inlineStr">
        <is>
          <t>TOP (zielony)</t>
        </is>
      </c>
      <c r="F240" s="9" t="inlineStr">
        <is>
          <t>Bielany</t>
        </is>
      </c>
      <c r="G240" s="11" t="inlineStr">
        <is>
          <t>+48 602 305 180</t>
        </is>
      </c>
      <c r="H240" s="11" t="n"/>
      <c r="I240" s="11" t="n"/>
      <c r="J240" s="11" t="inlineStr">
        <is>
          <t>Gdanska 12</t>
        </is>
      </c>
      <c r="K240" s="11" t="n"/>
      <c r="L240" s="11" t="inlineStr">
        <is>
          <t>Wlasciciel / Fachowiec</t>
        </is>
      </c>
      <c r="M240" s="12" t="n">
        <v>22</v>
      </c>
      <c r="N240" s="13" t="n">
        <v>4.8</v>
      </c>
      <c r="O240" s="9" t="inlineStr">
        <is>
          <t>Google Maps</t>
        </is>
      </c>
      <c r="P240" s="9" t="inlineStr">
        <is>
          <t>Nowa</t>
        </is>
      </c>
      <c r="Q240" s="10" t="n"/>
      <c r="R240" s="10" t="n"/>
      <c r="S240" s="11" t="inlineStr">
        <is>
          <t>[FACHOWIEC - nie klient] Hydraulik. Google Maps: 4.8 gw. z 22 opinii.</t>
        </is>
      </c>
      <c r="T240" s="11" t="n"/>
    </row>
    <row r="241" ht="22" customHeight="1">
      <c r="A241" s="9">
        <f>IF(C241="","",ROW()-1)</f>
        <v/>
      </c>
      <c r="B241" s="10" t="n">
        <v>46135</v>
      </c>
      <c r="C241" s="11" t="inlineStr">
        <is>
          <t>Sklep Hydrauliczno Budowlany</t>
        </is>
      </c>
      <c r="D241" s="9" t="inlineStr">
        <is>
          <t>Firmy budowlane</t>
        </is>
      </c>
      <c r="E241" s="9" t="inlineStr">
        <is>
          <t>TOP (zielony)</t>
        </is>
      </c>
      <c r="F241" s="9" t="inlineStr">
        <is>
          <t>Bielany</t>
        </is>
      </c>
      <c r="G241" s="11" t="inlineStr">
        <is>
          <t>+48 22 669 99 38</t>
        </is>
      </c>
      <c r="H241" s="11" t="n"/>
      <c r="I241" s="11" t="n"/>
      <c r="J241" s="11" t="inlineStr">
        <is>
          <t> · Jana Kasprowicza 50/lok. A</t>
        </is>
      </c>
      <c r="K241" s="11" t="n"/>
      <c r="L241" s="11" t="inlineStr">
        <is>
          <t>Wlasciciel / Fachowiec</t>
        </is>
      </c>
      <c r="M241" s="12" t="n">
        <v>137</v>
      </c>
      <c r="N241" s="13" t="n">
        <v>4.7</v>
      </c>
      <c r="O241" s="9" t="inlineStr">
        <is>
          <t>Google Maps</t>
        </is>
      </c>
      <c r="P241" s="9" t="inlineStr">
        <is>
          <t>Nowa</t>
        </is>
      </c>
      <c r="Q241" s="10" t="n"/>
      <c r="R241" s="10" t="n"/>
      <c r="S241" s="11" t="inlineStr">
        <is>
          <t>[FACHOWIEC - nie klient] Hydraulik. Google Maps: 4.7 gw. z 137 opinii.</t>
        </is>
      </c>
      <c r="T241" s="11" t="n"/>
    </row>
    <row r="242" ht="22" customHeight="1">
      <c r="A242" s="9">
        <f>IF(C242="","",ROW()-1)</f>
        <v/>
      </c>
      <c r="B242" s="10" t="n">
        <v>46135</v>
      </c>
      <c r="C242" s="11" t="inlineStr">
        <is>
          <t>MS USŁUGI HYDRAULICZNE 24/7</t>
        </is>
      </c>
      <c r="D242" s="9" t="inlineStr">
        <is>
          <t>Firmy budowlane</t>
        </is>
      </c>
      <c r="E242" s="9" t="inlineStr">
        <is>
          <t>TOP (zielony)</t>
        </is>
      </c>
      <c r="F242" s="9" t="inlineStr">
        <is>
          <t>Wilanow</t>
        </is>
      </c>
      <c r="G242" s="11" t="inlineStr">
        <is>
          <t>+48 503 321 811</t>
        </is>
      </c>
      <c r="H242" s="11" t="n"/>
      <c r="I242" s="11" t="n"/>
      <c r="J242" s="11" t="inlineStr">
        <is>
          <t>Marszałka Jozefa Piłsudskiego 30</t>
        </is>
      </c>
      <c r="K242" s="11" t="n"/>
      <c r="L242" s="11" t="inlineStr">
        <is>
          <t>Wlasciciel / Fachowiec</t>
        </is>
      </c>
      <c r="M242" s="12" t="n">
        <v>68</v>
      </c>
      <c r="N242" s="13" t="n">
        <v>4.6</v>
      </c>
      <c r="O242" s="9" t="inlineStr">
        <is>
          <t>Google Maps</t>
        </is>
      </c>
      <c r="P242" s="9" t="inlineStr">
        <is>
          <t>Nowa</t>
        </is>
      </c>
      <c r="Q242" s="10" t="n"/>
      <c r="R242" s="10" t="n"/>
      <c r="S242" s="11" t="inlineStr">
        <is>
          <t>[FACHOWIEC - nie klient] Hydraulik. Google Maps: 4.6 gw. z 68 opinii.</t>
        </is>
      </c>
      <c r="T242" s="11" t="n"/>
    </row>
    <row r="243" ht="22" customHeight="1">
      <c r="A243" s="9">
        <f>IF(C243="","",ROW()-1)</f>
        <v/>
      </c>
      <c r="B243" s="10" t="n">
        <v>46135</v>
      </c>
      <c r="C243" s="11" t="inlineStr">
        <is>
          <t>Instalacje Sanitarne Gazowe i C.O. j.Rupert</t>
        </is>
      </c>
      <c r="D243" s="9" t="inlineStr">
        <is>
          <t>Firmy budowlane</t>
        </is>
      </c>
      <c r="E243" s="9" t="inlineStr">
        <is>
          <t>Niski (czerwony)</t>
        </is>
      </c>
      <c r="F243" s="9" t="inlineStr">
        <is>
          <t>Wilanow</t>
        </is>
      </c>
      <c r="G243" s="11" t="inlineStr">
        <is>
          <t>+48 601 361 801</t>
        </is>
      </c>
      <c r="H243" s="11" t="n"/>
      <c r="I243" s="11" t="n"/>
      <c r="J243" s="11" t="inlineStr">
        <is>
          <t>Aleja Rzeczypospolitej 4</t>
        </is>
      </c>
      <c r="K243" s="11" t="n"/>
      <c r="L243" s="11" t="inlineStr">
        <is>
          <t>Wlasciciel / Fachowiec</t>
        </is>
      </c>
      <c r="M243" s="12" t="n">
        <v>1</v>
      </c>
      <c r="N243" s="13" t="n">
        <v>5</v>
      </c>
      <c r="O243" s="9" t="inlineStr">
        <is>
          <t>Google Maps</t>
        </is>
      </c>
      <c r="P243" s="9" t="inlineStr">
        <is>
          <t>Nowa</t>
        </is>
      </c>
      <c r="Q243" s="10" t="n"/>
      <c r="R243" s="10" t="n"/>
      <c r="S243" s="11" t="inlineStr">
        <is>
          <t>[FACHOWIEC - nie klient] Hydraulik. Google Maps: 5 gw. z 1 opinii.</t>
        </is>
      </c>
      <c r="T243" s="11" t="n"/>
    </row>
    <row r="244" ht="22" customHeight="1">
      <c r="A244" s="9">
        <f>IF(C244="","",ROW()-1)</f>
        <v/>
      </c>
      <c r="B244" s="10" t="n">
        <v>46135</v>
      </c>
      <c r="C244" s="11" t="inlineStr">
        <is>
          <t>HYDRAULIK 696 418 157 INSTALACJE SANITARNE I GRZEWCZE SERWOD</t>
        </is>
      </c>
      <c r="D244" s="9" t="inlineStr">
        <is>
          <t>Firmy budowlane</t>
        </is>
      </c>
      <c r="E244" s="9" t="inlineStr">
        <is>
          <t>TOP (zielony)</t>
        </is>
      </c>
      <c r="F244" s="9" t="inlineStr">
        <is>
          <t>Wilanow</t>
        </is>
      </c>
      <c r="G244" s="11" t="inlineStr">
        <is>
          <t>+48 696 418 157</t>
        </is>
      </c>
      <c r="H244" s="11" t="n"/>
      <c r="I244" s="11" t="n"/>
      <c r="J244" s="11" t="inlineStr">
        <is>
          <t>Wspolna 49</t>
        </is>
      </c>
      <c r="K244" s="11" t="n"/>
      <c r="L244" s="11" t="inlineStr">
        <is>
          <t>Wlasciciel / Fachowiec</t>
        </is>
      </c>
      <c r="M244" s="12" t="n">
        <v>47</v>
      </c>
      <c r="N244" s="13" t="n">
        <v>4.9</v>
      </c>
      <c r="O244" s="9" t="inlineStr">
        <is>
          <t>Google Maps</t>
        </is>
      </c>
      <c r="P244" s="9" t="inlineStr">
        <is>
          <t>Nowa</t>
        </is>
      </c>
      <c r="Q244" s="10" t="n"/>
      <c r="R244" s="10" t="n"/>
      <c r="S244" s="11" t="inlineStr">
        <is>
          <t>[FACHOWIEC - nie klient] Hydraulik. Google Maps: 4.9 gw. z 47 opinii.</t>
        </is>
      </c>
      <c r="T244" s="11" t="n"/>
    </row>
    <row r="245" ht="22" customHeight="1">
      <c r="A245" s="9">
        <f>IF(C245="","",ROW()-1)</f>
        <v/>
      </c>
      <c r="B245" s="10" t="n">
        <v>46135</v>
      </c>
      <c r="C245" s="11" t="inlineStr">
        <is>
          <t>Malowanie Obrazow Warszawa Marta Radziszewska</t>
        </is>
      </c>
      <c r="D245" s="9" t="inlineStr">
        <is>
          <t>Firmy budowlane</t>
        </is>
      </c>
      <c r="E245" s="9" t="inlineStr">
        <is>
          <t>TOP (zielony)</t>
        </is>
      </c>
      <c r="F245" s="9" t="inlineStr">
        <is>
          <t>Mokotow</t>
        </is>
      </c>
      <c r="G245" s="11" t="inlineStr">
        <is>
          <t>+48 502 540 548</t>
        </is>
      </c>
      <c r="H245" s="11" t="n"/>
      <c r="I245" s="11" t="n"/>
      <c r="J245" s="11" t="inlineStr">
        <is>
          <t>Wacława Zenczykowskiego 1</t>
        </is>
      </c>
      <c r="K245" s="11" t="n"/>
      <c r="L245" s="11" t="inlineStr">
        <is>
          <t>Wlasciciel / Fachowiec</t>
        </is>
      </c>
      <c r="M245" s="12" t="n">
        <v>117</v>
      </c>
      <c r="N245" s="13" t="n">
        <v>5</v>
      </c>
      <c r="O245" s="9" t="inlineStr">
        <is>
          <t>Google Maps</t>
        </is>
      </c>
      <c r="P245" s="9" t="inlineStr">
        <is>
          <t>Nowa</t>
        </is>
      </c>
      <c r="Q245" s="10" t="n"/>
      <c r="R245" s="10" t="n"/>
      <c r="S245" s="11" t="inlineStr">
        <is>
          <t>[FACHOWIEC - nie klient] Malarz. Google Maps: 5 gw. z 117 opinii.</t>
        </is>
      </c>
      <c r="T245" s="11" t="n"/>
    </row>
    <row r="246" ht="22" customHeight="1">
      <c r="A246" s="9">
        <f>IF(C246="","",ROW()-1)</f>
        <v/>
      </c>
      <c r="B246" s="10" t="n">
        <v>46135</v>
      </c>
      <c r="C246" s="11" t="inlineStr">
        <is>
          <t>Pracownia Artystyczna Paulina Maksjan</t>
        </is>
      </c>
      <c r="D246" s="9" t="inlineStr">
        <is>
          <t>Firmy budowlane</t>
        </is>
      </c>
      <c r="E246" s="9" t="inlineStr">
        <is>
          <t>Sredni (zolty)</t>
        </is>
      </c>
      <c r="F246" s="9" t="inlineStr">
        <is>
          <t>Mokotow</t>
        </is>
      </c>
      <c r="G246" s="11" t="inlineStr">
        <is>
          <t>+48 504 799 333</t>
        </is>
      </c>
      <c r="H246" s="11" t="n"/>
      <c r="I246" s="11" t="n"/>
      <c r="J246" s="11" t="inlineStr">
        <is>
          <t>Iwicka 47B/101</t>
        </is>
      </c>
      <c r="K246" s="11" t="n"/>
      <c r="L246" s="11" t="inlineStr">
        <is>
          <t>Wlasciciel / Fachowiec</t>
        </is>
      </c>
      <c r="M246" s="12" t="n">
        <v>15</v>
      </c>
      <c r="N246" s="13" t="n">
        <v>5</v>
      </c>
      <c r="O246" s="9" t="inlineStr">
        <is>
          <t>Google Maps</t>
        </is>
      </c>
      <c r="P246" s="9" t="inlineStr">
        <is>
          <t>Nowa</t>
        </is>
      </c>
      <c r="Q246" s="10" t="n"/>
      <c r="R246" s="10" t="n"/>
      <c r="S246" s="11" t="inlineStr">
        <is>
          <t>[FACHOWIEC - nie klient] Malarz. Google Maps: 5 gw. z 15 opinii.</t>
        </is>
      </c>
      <c r="T246" s="11" t="n"/>
    </row>
    <row r="247" ht="22" customHeight="1">
      <c r="A247" s="9">
        <f>IF(C247="","",ROW()-1)</f>
        <v/>
      </c>
      <c r="B247" s="10" t="n">
        <v>46135</v>
      </c>
      <c r="C247" s="11" t="inlineStr">
        <is>
          <t>Marta Najmowicz ART</t>
        </is>
      </c>
      <c r="D247" s="9" t="inlineStr">
        <is>
          <t>Firmy budowlane</t>
        </is>
      </c>
      <c r="E247" s="9" t="inlineStr">
        <is>
          <t>Niski (czerwony)</t>
        </is>
      </c>
      <c r="F247" s="9" t="inlineStr">
        <is>
          <t>Mokotow</t>
        </is>
      </c>
      <c r="G247" s="11" t="inlineStr">
        <is>
          <t>+48 500 174 831</t>
        </is>
      </c>
      <c r="H247" s="11" t="n"/>
      <c r="I247" s="11" t="n"/>
      <c r="J247" s="11" t="inlineStr">
        <is>
          <t>Obrzezna 3</t>
        </is>
      </c>
      <c r="K247" s="11" t="n"/>
      <c r="L247" s="11" t="inlineStr">
        <is>
          <t>Wlasciciel / Fachowiec</t>
        </is>
      </c>
      <c r="M247" s="12" t="n">
        <v>2</v>
      </c>
      <c r="N247" s="13" t="n">
        <v>5</v>
      </c>
      <c r="O247" s="9" t="inlineStr">
        <is>
          <t>Google Maps</t>
        </is>
      </c>
      <c r="P247" s="9" t="inlineStr">
        <is>
          <t>Nowa</t>
        </is>
      </c>
      <c r="Q247" s="10" t="n"/>
      <c r="R247" s="10" t="n"/>
      <c r="S247" s="11" t="inlineStr">
        <is>
          <t>[FACHOWIEC - nie klient] Malarz. Google Maps: 5 gw. z 2 opinii.</t>
        </is>
      </c>
      <c r="T247" s="11" t="n"/>
    </row>
    <row r="248" ht="22" customHeight="1">
      <c r="A248" s="9">
        <f>IF(C248="","",ROW()-1)</f>
        <v/>
      </c>
      <c r="B248" s="10" t="n">
        <v>46135</v>
      </c>
      <c r="C248" s="11" t="inlineStr">
        <is>
          <t>Vedic Art - Ars Pro Anima - Ola Wołoszyn</t>
        </is>
      </c>
      <c r="D248" s="9" t="inlineStr">
        <is>
          <t>Firmy budowlane</t>
        </is>
      </c>
      <c r="E248" s="9" t="inlineStr">
        <is>
          <t>Sredni (zolty)</t>
        </is>
      </c>
      <c r="F248" s="9" t="inlineStr">
        <is>
          <t>Wola</t>
        </is>
      </c>
      <c r="G248" s="11" t="inlineStr">
        <is>
          <t>+48 730 614 776</t>
        </is>
      </c>
      <c r="H248" s="11" t="n"/>
      <c r="I248" s="11" t="n"/>
      <c r="J248" s="11" t="inlineStr">
        <is>
          <t>Erazma Ciołka 35/71</t>
        </is>
      </c>
      <c r="K248" s="11" t="n"/>
      <c r="L248" s="11" t="inlineStr">
        <is>
          <t>Wlasciciel / Fachowiec</t>
        </is>
      </c>
      <c r="M248" s="12" t="n">
        <v>13</v>
      </c>
      <c r="N248" s="13" t="n">
        <v>5</v>
      </c>
      <c r="O248" s="9" t="inlineStr">
        <is>
          <t>Google Maps</t>
        </is>
      </c>
      <c r="P248" s="9" t="inlineStr">
        <is>
          <t>Nowa</t>
        </is>
      </c>
      <c r="Q248" s="10" t="n"/>
      <c r="R248" s="10" t="n"/>
      <c r="S248" s="11" t="inlineStr">
        <is>
          <t>[FACHOWIEC - nie klient] Malarz. Google Maps: 5 gw. z 13 opinii.</t>
        </is>
      </c>
      <c r="T248" s="11" t="n"/>
    </row>
    <row r="249" ht="22" customHeight="1">
      <c r="A249" s="9">
        <f>IF(C249="","",ROW()-1)</f>
        <v/>
      </c>
      <c r="B249" s="10" t="n">
        <v>46135</v>
      </c>
      <c r="C249" s="11" t="inlineStr">
        <is>
          <t>PłytkiArt</t>
        </is>
      </c>
      <c r="D249" s="9" t="inlineStr">
        <is>
          <t>Firmy budowlane</t>
        </is>
      </c>
      <c r="E249" s="9" t="inlineStr">
        <is>
          <t>Sredni (zolty)</t>
        </is>
      </c>
      <c r="F249" s="9" t="inlineStr">
        <is>
          <t>Mokotow</t>
        </is>
      </c>
      <c r="G249" s="11" t="inlineStr">
        <is>
          <t>+48 535 244 906</t>
        </is>
      </c>
      <c r="H249" s="11" t="n"/>
      <c r="I249" s="11" t="n"/>
      <c r="J249" s="11" t="inlineStr">
        <is>
          <t>Magazynowa 13a/2</t>
        </is>
      </c>
      <c r="K249" s="11" t="n"/>
      <c r="L249" s="11" t="inlineStr">
        <is>
          <t>Wlasciciel / Fachowiec</t>
        </is>
      </c>
      <c r="M249" s="12" t="n">
        <v>6</v>
      </c>
      <c r="N249" s="13" t="n">
        <v>5</v>
      </c>
      <c r="O249" s="9" t="inlineStr">
        <is>
          <t>Google Maps</t>
        </is>
      </c>
      <c r="P249" s="9" t="inlineStr">
        <is>
          <t>Nowa</t>
        </is>
      </c>
      <c r="Q249" s="10" t="n"/>
      <c r="R249" s="10" t="n"/>
      <c r="S249" s="11" t="inlineStr">
        <is>
          <t>[FACHOWIEC - nie klient] Glazurnik / plytkarz. Google Maps: 5 gw. z 6 opinii.</t>
        </is>
      </c>
      <c r="T249" s="11" t="n"/>
    </row>
    <row r="250" ht="22" customHeight="1">
      <c r="A250" s="9">
        <f>IF(C250="","",ROW()-1)</f>
        <v/>
      </c>
      <c r="B250" s="10" t="n">
        <v>46135</v>
      </c>
      <c r="C250" s="11" t="inlineStr">
        <is>
          <t>Elegant Interior- Paweł Zielinski</t>
        </is>
      </c>
      <c r="D250" s="9" t="inlineStr">
        <is>
          <t>Firmy budowlane</t>
        </is>
      </c>
      <c r="E250" s="9" t="inlineStr">
        <is>
          <t>TOP (zielony)</t>
        </is>
      </c>
      <c r="F250" s="9" t="inlineStr">
        <is>
          <t>Mokotow</t>
        </is>
      </c>
      <c r="G250" s="11" t="inlineStr">
        <is>
          <t>+48 502 025 144</t>
        </is>
      </c>
      <c r="H250" s="11" t="n"/>
      <c r="I250" s="11" t="n"/>
      <c r="J250" s="11" t="inlineStr">
        <is>
          <t>Jurajska 4</t>
        </is>
      </c>
      <c r="K250" s="11" t="n"/>
      <c r="L250" s="11" t="inlineStr">
        <is>
          <t>Wlasciciel / Fachowiec</t>
        </is>
      </c>
      <c r="M250" s="12" t="n">
        <v>21</v>
      </c>
      <c r="N250" s="13" t="n">
        <v>5</v>
      </c>
      <c r="O250" s="9" t="inlineStr">
        <is>
          <t>Google Maps</t>
        </is>
      </c>
      <c r="P250" s="9" t="inlineStr">
        <is>
          <t>Nowa</t>
        </is>
      </c>
      <c r="Q250" s="10" t="n"/>
      <c r="R250" s="10" t="n"/>
      <c r="S250" s="11" t="inlineStr">
        <is>
          <t>[FACHOWIEC - nie klient] Glazurnik / plytkarz. Google Maps: 5 gw. z 21 opinii.</t>
        </is>
      </c>
      <c r="T250" s="11" t="n"/>
    </row>
    <row r="251" ht="22" customHeight="1">
      <c r="A251" s="9">
        <f>IF(C251="","",ROW()-1)</f>
        <v/>
      </c>
      <c r="B251" s="10" t="n">
        <v>46135</v>
      </c>
      <c r="C251" s="11" t="inlineStr">
        <is>
          <t>Margranz - Ciecie płytek, montaz i obrobka: spiekow, gresow, i kamienia.</t>
        </is>
      </c>
      <c r="D251" s="9" t="inlineStr">
        <is>
          <t>Firmy budowlane</t>
        </is>
      </c>
      <c r="E251" s="9" t="inlineStr">
        <is>
          <t>TOP (zielony)</t>
        </is>
      </c>
      <c r="F251" s="9" t="inlineStr">
        <is>
          <t>Mokotow</t>
        </is>
      </c>
      <c r="G251" s="11" t="inlineStr">
        <is>
          <t>+48 501 860 812</t>
        </is>
      </c>
      <c r="H251" s="11" t="n"/>
      <c r="I251" s="11" t="n"/>
      <c r="J251" s="11" t="inlineStr">
        <is>
          <t>Bartycka 175/9</t>
        </is>
      </c>
      <c r="K251" s="11" t="n"/>
      <c r="L251" s="11" t="inlineStr">
        <is>
          <t>Wlasciciel / Fachowiec</t>
        </is>
      </c>
      <c r="M251" s="12" t="n">
        <v>23</v>
      </c>
      <c r="N251" s="13" t="n">
        <v>4.7</v>
      </c>
      <c r="O251" s="9" t="inlineStr">
        <is>
          <t>Google Maps</t>
        </is>
      </c>
      <c r="P251" s="9" t="inlineStr">
        <is>
          <t>Nowa</t>
        </is>
      </c>
      <c r="Q251" s="10" t="n"/>
      <c r="R251" s="10" t="n"/>
      <c r="S251" s="11" t="inlineStr">
        <is>
          <t>[FACHOWIEC - nie klient] Glazurnik / plytkarz. Google Maps: 4.7 gw. z 23 opinii.</t>
        </is>
      </c>
      <c r="T251" s="11" t="n"/>
    </row>
    <row r="252" ht="22" customHeight="1">
      <c r="A252" s="9">
        <f>IF(C252="","",ROW()-1)</f>
        <v/>
      </c>
      <c r="B252" s="10" t="n">
        <v>46135</v>
      </c>
      <c r="C252" s="11" t="inlineStr">
        <is>
          <t>Mar-lux</t>
        </is>
      </c>
      <c r="D252" s="9" t="inlineStr">
        <is>
          <t>Firmy budowlane</t>
        </is>
      </c>
      <c r="E252" s="9" t="inlineStr">
        <is>
          <t>Sredni (zolty)</t>
        </is>
      </c>
      <c r="F252" s="9" t="inlineStr">
        <is>
          <t>Mokotow</t>
        </is>
      </c>
      <c r="G252" s="11" t="inlineStr">
        <is>
          <t>+48 731 291 298</t>
        </is>
      </c>
      <c r="H252" s="11" t="n"/>
      <c r="I252" s="11" t="n"/>
      <c r="J252" s="11" t="inlineStr">
        <is>
          <t>Złota 7/28</t>
        </is>
      </c>
      <c r="K252" s="11" t="n"/>
      <c r="L252" s="11" t="inlineStr">
        <is>
          <t>Wlasciciel / Fachowiec</t>
        </is>
      </c>
      <c r="M252" s="12" t="n">
        <v>5</v>
      </c>
      <c r="N252" s="13" t="n">
        <v>5</v>
      </c>
      <c r="O252" s="9" t="inlineStr">
        <is>
          <t>Google Maps</t>
        </is>
      </c>
      <c r="P252" s="9" t="inlineStr">
        <is>
          <t>Nowa</t>
        </is>
      </c>
      <c r="Q252" s="10" t="n"/>
      <c r="R252" s="10" t="n"/>
      <c r="S252" s="11" t="inlineStr">
        <is>
          <t>[FACHOWIEC - nie klient] Glazurnik / plytkarz. Google Maps: 5 gw. z 5 opinii.</t>
        </is>
      </c>
      <c r="T252" s="11" t="n"/>
    </row>
    <row r="253" ht="22" customHeight="1">
      <c r="A253" s="9">
        <f>IF(C253="","",ROW()-1)</f>
        <v/>
      </c>
      <c r="B253" s="10" t="n">
        <v>46135</v>
      </c>
      <c r="C253" s="11" t="inlineStr">
        <is>
          <t>K&amp;M Nikos Sp. Z o.o. Usługi Glazurnicze</t>
        </is>
      </c>
      <c r="D253" s="9" t="inlineStr">
        <is>
          <t>Firmy budowlane</t>
        </is>
      </c>
      <c r="E253" s="9" t="inlineStr">
        <is>
          <t>Sredni (zolty)</t>
        </is>
      </c>
      <c r="F253" s="9" t="inlineStr">
        <is>
          <t>Ursynow</t>
        </is>
      </c>
      <c r="G253" s="11" t="inlineStr">
        <is>
          <t>+48 509 566 149</t>
        </is>
      </c>
      <c r="H253" s="11" t="n"/>
      <c r="I253" s="11" t="n"/>
      <c r="J253" s="11" t="inlineStr">
        <is>
          <t>Puławska 45</t>
        </is>
      </c>
      <c r="K253" s="11" t="n"/>
      <c r="L253" s="11" t="inlineStr">
        <is>
          <t>Wlasciciel / Fachowiec</t>
        </is>
      </c>
      <c r="M253" s="12" t="n">
        <v>16</v>
      </c>
      <c r="N253" s="13" t="n">
        <v>4.8</v>
      </c>
      <c r="O253" s="9" t="inlineStr">
        <is>
          <t>Google Maps</t>
        </is>
      </c>
      <c r="P253" s="9" t="inlineStr">
        <is>
          <t>Nowa</t>
        </is>
      </c>
      <c r="Q253" s="10" t="n"/>
      <c r="R253" s="10" t="n"/>
      <c r="S253" s="11" t="inlineStr">
        <is>
          <t>[FACHOWIEC - nie klient] Glazurnik / plytkarz. Google Maps: 4.8 gw. z 16 opinii.</t>
        </is>
      </c>
      <c r="T253" s="11" t="n"/>
    </row>
    <row r="254" ht="22" customHeight="1">
      <c r="A254" s="9">
        <f>IF(C254="","",ROW()-1)</f>
        <v/>
      </c>
      <c r="B254" s="10" t="n">
        <v>46135</v>
      </c>
      <c r="C254" s="11" t="inlineStr">
        <is>
          <t>Mateusz Kos - Glazurnik</t>
        </is>
      </c>
      <c r="D254" s="9" t="inlineStr">
        <is>
          <t>Firmy budowlane</t>
        </is>
      </c>
      <c r="E254" s="9" t="inlineStr">
        <is>
          <t>Sredni (zolty)</t>
        </is>
      </c>
      <c r="F254" s="9" t="inlineStr">
        <is>
          <t>Ursynow</t>
        </is>
      </c>
      <c r="G254" s="11" t="inlineStr">
        <is>
          <t>+48 883 339 840</t>
        </is>
      </c>
      <c r="H254" s="11" t="n"/>
      <c r="I254" s="11" t="n"/>
      <c r="J254" s="11" t="inlineStr">
        <is>
          <t>Młynarska 35</t>
        </is>
      </c>
      <c r="K254" s="11" t="n"/>
      <c r="L254" s="11" t="inlineStr">
        <is>
          <t>Wlasciciel / Fachowiec</t>
        </is>
      </c>
      <c r="M254" s="12" t="n">
        <v>7</v>
      </c>
      <c r="N254" s="13" t="n">
        <v>5</v>
      </c>
      <c r="O254" s="9" t="inlineStr">
        <is>
          <t>Google Maps</t>
        </is>
      </c>
      <c r="P254" s="9" t="inlineStr">
        <is>
          <t>Nowa</t>
        </is>
      </c>
      <c r="Q254" s="10" t="n"/>
      <c r="R254" s="10" t="n"/>
      <c r="S254" s="11" t="inlineStr">
        <is>
          <t>[FACHOWIEC - nie klient] Glazurnik / plytkarz. Google Maps: 5 gw. z 7 opinii.</t>
        </is>
      </c>
      <c r="T254" s="11" t="n"/>
    </row>
    <row r="255" ht="22" customHeight="1">
      <c r="A255" s="9">
        <f>IF(C255="","",ROW()-1)</f>
        <v/>
      </c>
      <c r="B255" s="10" t="n">
        <v>46135</v>
      </c>
      <c r="C255" s="11" t="inlineStr">
        <is>
          <t>Stolarnia ANPACH Warszawa Ursynow</t>
        </is>
      </c>
      <c r="D255" s="9" t="inlineStr">
        <is>
          <t>Firmy budowlane</t>
        </is>
      </c>
      <c r="E255" s="9" t="inlineStr">
        <is>
          <t>TOP (zielony)</t>
        </is>
      </c>
      <c r="F255" s="9" t="inlineStr">
        <is>
          <t>Ursynow</t>
        </is>
      </c>
      <c r="G255" s="11" t="inlineStr">
        <is>
          <t>+48 602 874 005</t>
        </is>
      </c>
      <c r="H255" s="11" t="n"/>
      <c r="I255" s="11" t="n"/>
      <c r="J255" s="11" t="inlineStr">
        <is>
          <t>Stanisława Kulczynskiego 2</t>
        </is>
      </c>
      <c r="K255" s="11" t="n"/>
      <c r="L255" s="11" t="inlineStr">
        <is>
          <t>Wlasciciel / Fachowiec</t>
        </is>
      </c>
      <c r="M255" s="12" t="n">
        <v>183</v>
      </c>
      <c r="N255" s="13" t="n">
        <v>4</v>
      </c>
      <c r="O255" s="9" t="inlineStr">
        <is>
          <t>Google Maps</t>
        </is>
      </c>
      <c r="P255" s="9" t="inlineStr">
        <is>
          <t>Nowa</t>
        </is>
      </c>
      <c r="Q255" s="10" t="n"/>
      <c r="R255" s="10" t="n"/>
      <c r="S255" s="11" t="inlineStr">
        <is>
          <t>[FACHOWIEC - nie klient] Stolarz. Google Maps: 4 gw. z 183 opinii.</t>
        </is>
      </c>
      <c r="T255" s="11" t="n"/>
    </row>
    <row r="256" ht="22" customHeight="1">
      <c r="A256" s="9">
        <f>IF(C256="","",ROW()-1)</f>
        <v/>
      </c>
      <c r="B256" s="10" t="n">
        <v>46135</v>
      </c>
      <c r="C256" s="11" t="inlineStr">
        <is>
          <t>Tani Montaz Mebli u Klienta - Warszawa Ursynow, KEN</t>
        </is>
      </c>
      <c r="D256" s="9" t="inlineStr">
        <is>
          <t>Firmy budowlane</t>
        </is>
      </c>
      <c r="E256" s="9" t="inlineStr">
        <is>
          <t>TOP (zielony)</t>
        </is>
      </c>
      <c r="F256" s="9" t="inlineStr">
        <is>
          <t>Ursynow</t>
        </is>
      </c>
      <c r="G256" s="11" t="inlineStr">
        <is>
          <t>+48 798 184 618</t>
        </is>
      </c>
      <c r="H256" s="11" t="n"/>
      <c r="I256" s="11" t="n"/>
      <c r="J256" s="11" t="inlineStr">
        <is>
          <t>Aleja Komisji Edukacji Narodowej 52/112</t>
        </is>
      </c>
      <c r="K256" s="11" t="n"/>
      <c r="L256" s="11" t="inlineStr">
        <is>
          <t>Wlasciciel / Fachowiec</t>
        </is>
      </c>
      <c r="M256" s="12" t="n">
        <v>41</v>
      </c>
      <c r="N256" s="13" t="n">
        <v>5</v>
      </c>
      <c r="O256" s="9" t="inlineStr">
        <is>
          <t>Google Maps</t>
        </is>
      </c>
      <c r="P256" s="9" t="inlineStr">
        <is>
          <t>Nowa</t>
        </is>
      </c>
      <c r="Q256" s="10" t="n"/>
      <c r="R256" s="10" t="n"/>
      <c r="S256" s="11" t="inlineStr">
        <is>
          <t>[FACHOWIEC - nie klient] Stolarz. Google Maps: 5 gw. z 41 opinii.</t>
        </is>
      </c>
      <c r="T256" s="11" t="n"/>
    </row>
    <row r="257" ht="22" customHeight="1">
      <c r="A257" s="9">
        <f>IF(C257="","",ROW()-1)</f>
        <v/>
      </c>
      <c r="B257" s="10" t="n">
        <v>46135</v>
      </c>
      <c r="C257" s="11" t="inlineStr">
        <is>
          <t>Usługi Stolarskie Rafał Pawelski</t>
        </is>
      </c>
      <c r="D257" s="9" t="inlineStr">
        <is>
          <t>Firmy budowlane</t>
        </is>
      </c>
      <c r="E257" s="9" t="inlineStr">
        <is>
          <t>Niski (czerwony)</t>
        </is>
      </c>
      <c r="F257" s="9" t="inlineStr">
        <is>
          <t>Ursynow</t>
        </is>
      </c>
      <c r="G257" s="11" t="inlineStr">
        <is>
          <t>+48 504 297 649</t>
        </is>
      </c>
      <c r="H257" s="11" t="n"/>
      <c r="I257" s="11" t="n"/>
      <c r="J257" s="11" t="inlineStr">
        <is>
          <t>Eugeniusza Lokajskiego 12/20</t>
        </is>
      </c>
      <c r="K257" s="11" t="n"/>
      <c r="L257" s="11" t="inlineStr">
        <is>
          <t>Wlasciciel / Fachowiec</t>
        </is>
      </c>
      <c r="M257" s="12" t="n">
        <v>7</v>
      </c>
      <c r="N257" s="13" t="n">
        <v>3.9</v>
      </c>
      <c r="O257" s="9" t="inlineStr">
        <is>
          <t>Google Maps</t>
        </is>
      </c>
      <c r="P257" s="9" t="inlineStr">
        <is>
          <t>Nowa</t>
        </is>
      </c>
      <c r="Q257" s="10" t="n"/>
      <c r="R257" s="10" t="n"/>
      <c r="S257" s="11" t="inlineStr">
        <is>
          <t>[FACHOWIEC - nie klient] Stolarz. Google Maps: 3.9 gw. z 7 opinii.</t>
        </is>
      </c>
      <c r="T257" s="11" t="n"/>
    </row>
    <row r="258" ht="22" customHeight="1">
      <c r="A258" s="9">
        <f>IF(C258="","",ROW()-1)</f>
        <v/>
      </c>
      <c r="B258" s="10" t="n">
        <v>46135</v>
      </c>
      <c r="C258" s="11" t="inlineStr">
        <is>
          <t>Meble na zamowienie Meble Maku</t>
        </is>
      </c>
      <c r="D258" s="9" t="inlineStr">
        <is>
          <t>Firmy budowlane</t>
        </is>
      </c>
      <c r="E258" s="9" t="inlineStr">
        <is>
          <t>TOP (zielony)</t>
        </is>
      </c>
      <c r="F258" s="9" t="inlineStr">
        <is>
          <t>Ursynow</t>
        </is>
      </c>
      <c r="G258" s="11" t="inlineStr">
        <is>
          <t>+48 601 400 028</t>
        </is>
      </c>
      <c r="H258" s="11" t="n"/>
      <c r="I258" s="11" t="n"/>
      <c r="J258" s="11" t="inlineStr">
        <is>
          <t>Okaryny 3b/m. 5</t>
        </is>
      </c>
      <c r="K258" s="11" t="n"/>
      <c r="L258" s="11" t="inlineStr">
        <is>
          <t>Wlasciciel / Fachowiec</t>
        </is>
      </c>
      <c r="M258" s="12" t="n">
        <v>54</v>
      </c>
      <c r="N258" s="13" t="n">
        <v>4.9</v>
      </c>
      <c r="O258" s="9" t="inlineStr">
        <is>
          <t>Google Maps</t>
        </is>
      </c>
      <c r="P258" s="9" t="inlineStr">
        <is>
          <t>Nowa</t>
        </is>
      </c>
      <c r="Q258" s="10" t="n"/>
      <c r="R258" s="10" t="n"/>
      <c r="S258" s="11" t="inlineStr">
        <is>
          <t>[FACHOWIEC - nie klient] Stolarz. Google Maps: 4.9 gw. z 54 opinii.</t>
        </is>
      </c>
      <c r="T258" s="11" t="n"/>
    </row>
    <row r="259" ht="22" customHeight="1">
      <c r="A259" s="9">
        <f>IF(C259="","",ROW()-1)</f>
        <v/>
      </c>
      <c r="B259" s="10" t="n">
        <v>46135</v>
      </c>
      <c r="C259" s="11" t="inlineStr">
        <is>
          <t>Zochowski Kazimierz. Stolarstwo</t>
        </is>
      </c>
      <c r="D259" s="9" t="inlineStr">
        <is>
          <t>Firmy budowlane</t>
        </is>
      </c>
      <c r="E259" s="9" t="inlineStr">
        <is>
          <t>Niski (czerwony)</t>
        </is>
      </c>
      <c r="F259" s="9" t="inlineStr">
        <is>
          <t>Ursynow</t>
        </is>
      </c>
      <c r="G259" s="11" t="inlineStr">
        <is>
          <t>+48 604 827 322</t>
        </is>
      </c>
      <c r="H259" s="11" t="n"/>
      <c r="I259" s="11" t="n"/>
      <c r="J259" s="11" t="inlineStr">
        <is>
          <t>Wawrzynca Surowieckiego 12</t>
        </is>
      </c>
      <c r="K259" s="11" t="n"/>
      <c r="L259" s="11" t="inlineStr">
        <is>
          <t>Wlasciciel / Fachowiec</t>
        </is>
      </c>
      <c r="M259" s="12" t="n">
        <v>1</v>
      </c>
      <c r="N259" s="13" t="n">
        <v>5</v>
      </c>
      <c r="O259" s="9" t="inlineStr">
        <is>
          <t>Google Maps</t>
        </is>
      </c>
      <c r="P259" s="9" t="inlineStr">
        <is>
          <t>Nowa</t>
        </is>
      </c>
      <c r="Q259" s="10" t="n"/>
      <c r="R259" s="10" t="n"/>
      <c r="S259" s="11" t="inlineStr">
        <is>
          <t>[FACHOWIEC - nie klient] Stolarz. Google Maps: 5 gw. z 1 opinii.</t>
        </is>
      </c>
      <c r="T259" s="11" t="n"/>
    </row>
    <row r="260" ht="22" customHeight="1">
      <c r="A260" s="9">
        <f>IF(C260="","",ROW()-1)</f>
        <v/>
      </c>
      <c r="B260" s="10" t="n">
        <v>46135</v>
      </c>
      <c r="C260" s="11" t="inlineStr">
        <is>
          <t>Stolarnia.Studio - drewniane meble na wymiar</t>
        </is>
      </c>
      <c r="D260" s="9" t="inlineStr">
        <is>
          <t>Firmy budowlane</t>
        </is>
      </c>
      <c r="E260" s="9" t="inlineStr">
        <is>
          <t>Sredni (zolty)</t>
        </is>
      </c>
      <c r="F260" s="9" t="inlineStr">
        <is>
          <t>Ursynow</t>
        </is>
      </c>
      <c r="G260" s="11" t="inlineStr">
        <is>
          <t>+48 600 027 235</t>
        </is>
      </c>
      <c r="H260" s="11" t="n"/>
      <c r="I260" s="11" t="n"/>
      <c r="J260" s="11" t="inlineStr">
        <is>
          <t>Edwarda Dembowskiego 10</t>
        </is>
      </c>
      <c r="K260" s="11" t="n"/>
      <c r="L260" s="11" t="inlineStr">
        <is>
          <t>Wlasciciel / Fachowiec</t>
        </is>
      </c>
      <c r="M260" s="12" t="n">
        <v>19</v>
      </c>
      <c r="N260" s="13" t="n">
        <v>5</v>
      </c>
      <c r="O260" s="9" t="inlineStr">
        <is>
          <t>Google Maps</t>
        </is>
      </c>
      <c r="P260" s="9" t="inlineStr">
        <is>
          <t>Nowa</t>
        </is>
      </c>
      <c r="Q260" s="10" t="n"/>
      <c r="R260" s="10" t="n"/>
      <c r="S260" s="11" t="inlineStr">
        <is>
          <t>[FACHOWIEC - nie klient] Stolarz. Google Maps: 5 gw. z 19 opinii.</t>
        </is>
      </c>
      <c r="T260" s="11" t="n"/>
    </row>
    <row r="261" ht="22" customHeight="1">
      <c r="A261" s="9">
        <f>IF(C261="","",ROW()-1)</f>
        <v/>
      </c>
      <c r="B261" s="10" t="n">
        <v>46135</v>
      </c>
      <c r="C261" s="11" t="inlineStr">
        <is>
          <t>4 HOME MamyTO! POD KLUCZ - Kompleksowe urzadzanie i wykonczenie mieszkan, domow pod klucz</t>
        </is>
      </c>
      <c r="D261" s="9" t="inlineStr">
        <is>
          <t>Firmy budowlane</t>
        </is>
      </c>
      <c r="E261" s="9" t="inlineStr">
        <is>
          <t>TOP (zielony)</t>
        </is>
      </c>
      <c r="F261" s="9" t="n"/>
      <c r="G261" s="11" t="inlineStr">
        <is>
          <t>+48 666 366 946</t>
        </is>
      </c>
      <c r="H261" s="11" t="n"/>
      <c r="I261" s="11" t="n"/>
      <c r="J261" s="11" t="inlineStr">
        <is>
          <t> · Kleszczowa 18/lok. 11</t>
        </is>
      </c>
      <c r="K261" s="11" t="n"/>
      <c r="L261" s="11" t="inlineStr">
        <is>
          <t>Wlasciciel / Fachowiec</t>
        </is>
      </c>
      <c r="M261" s="12" t="n">
        <v>153</v>
      </c>
      <c r="N261" s="13" t="n">
        <v>4.7</v>
      </c>
      <c r="O261" s="9" t="inlineStr">
        <is>
          <t>Google Maps</t>
        </is>
      </c>
      <c r="P261" s="9" t="inlineStr">
        <is>
          <t>Nowa</t>
        </is>
      </c>
      <c r="Q261" s="10" t="n"/>
      <c r="R261" s="10" t="n"/>
      <c r="S261" s="11" t="inlineStr">
        <is>
          <t>[FACHOWIEC - nie klient] Wykonczenia wnetrz. Google Maps: 4.7 gw. z 153 opinii.</t>
        </is>
      </c>
      <c r="T261" s="11" t="n"/>
    </row>
    <row r="262" ht="22" customHeight="1">
      <c r="A262" s="9">
        <f>IF(C262="","",ROW()-1)</f>
        <v/>
      </c>
      <c r="B262" s="10" t="n">
        <v>46135</v>
      </c>
      <c r="C262" s="11" t="inlineStr">
        <is>
          <t>Wykonczymy.com.pl - firma remontowa Warszawa, wykonczenia wnetrz, projektowanie wnetrz</t>
        </is>
      </c>
      <c r="D262" s="9" t="inlineStr">
        <is>
          <t>Firmy budowlane</t>
        </is>
      </c>
      <c r="E262" s="9" t="inlineStr">
        <is>
          <t>TOP (zielony)</t>
        </is>
      </c>
      <c r="F262" s="9" t="n"/>
      <c r="G262" s="11" t="inlineStr">
        <is>
          <t>+48 505 805 425</t>
        </is>
      </c>
      <c r="H262" s="11" t="n"/>
      <c r="I262" s="11" t="n"/>
      <c r="J262" s="11" t="inlineStr">
        <is>
          <t>Terespolska 2</t>
        </is>
      </c>
      <c r="K262" s="11" t="n"/>
      <c r="L262" s="11" t="inlineStr">
        <is>
          <t>Wlasciciel / Fachowiec</t>
        </is>
      </c>
      <c r="M262" s="12" t="n">
        <v>71</v>
      </c>
      <c r="N262" s="13" t="n">
        <v>5</v>
      </c>
      <c r="O262" s="9" t="inlineStr">
        <is>
          <t>Google Maps</t>
        </is>
      </c>
      <c r="P262" s="9" t="inlineStr">
        <is>
          <t>Nowa</t>
        </is>
      </c>
      <c r="Q262" s="10" t="n"/>
      <c r="R262" s="10" t="n"/>
      <c r="S262" s="11" t="inlineStr">
        <is>
          <t>[FACHOWIEC - nie klient] Wykonczenia wnetrz. Google Maps: 5 gw. z 71 opinii.</t>
        </is>
      </c>
      <c r="T262" s="11" t="n"/>
    </row>
    <row r="263" ht="22" customHeight="1">
      <c r="A263" s="9">
        <f>IF(C263="","",ROW()-1)</f>
        <v/>
      </c>
      <c r="B263" s="10" t="n">
        <v>46135</v>
      </c>
      <c r="C263" s="11" t="inlineStr">
        <is>
          <t>PROFESA BUD ▪ REMONTY I WYKONCZENIA WNETRZ</t>
        </is>
      </c>
      <c r="D263" s="9" t="inlineStr">
        <is>
          <t>Firmy budowlane</t>
        </is>
      </c>
      <c r="E263" s="9" t="inlineStr">
        <is>
          <t>TOP (zielony)</t>
        </is>
      </c>
      <c r="F263" s="9" t="n"/>
      <c r="G263" s="11" t="inlineStr">
        <is>
          <t>+48 538 353 001</t>
        </is>
      </c>
      <c r="H263" s="11" t="n"/>
      <c r="I263" s="11" t="n"/>
      <c r="J263" s="11" t="inlineStr">
        <is>
          <t>Rembielinska 10</t>
        </is>
      </c>
      <c r="K263" s="11" t="n"/>
      <c r="L263" s="11" t="inlineStr">
        <is>
          <t>Wlasciciel / Fachowiec</t>
        </is>
      </c>
      <c r="M263" s="12" t="n">
        <v>51</v>
      </c>
      <c r="N263" s="13" t="n">
        <v>4.9</v>
      </c>
      <c r="O263" s="9" t="inlineStr">
        <is>
          <t>Google Maps</t>
        </is>
      </c>
      <c r="P263" s="9" t="inlineStr">
        <is>
          <t>Nowa</t>
        </is>
      </c>
      <c r="Q263" s="10" t="n"/>
      <c r="R263" s="10" t="n"/>
      <c r="S263" s="11" t="inlineStr">
        <is>
          <t>[FACHOWIEC - nie klient] Wykonczenia wnetrz. Google Maps: 4.9 gw. z 51 opinii.</t>
        </is>
      </c>
      <c r="T263" s="11" t="n"/>
    </row>
    <row r="264" ht="22" customHeight="1">
      <c r="A264" s="9">
        <f>IF(C264="","",ROW()-1)</f>
        <v/>
      </c>
      <c r="B264" s="10" t="n">
        <v>46135</v>
      </c>
      <c r="C264" s="11" t="inlineStr">
        <is>
          <t>WYKONCZENIA WNETRZ</t>
        </is>
      </c>
      <c r="D264" s="9" t="inlineStr">
        <is>
          <t>Firmy budowlane</t>
        </is>
      </c>
      <c r="E264" s="9" t="inlineStr">
        <is>
          <t>Niski (czerwony)</t>
        </is>
      </c>
      <c r="F264" s="9" t="n"/>
      <c r="G264" s="11" t="inlineStr">
        <is>
          <t>+48 511 485 015</t>
        </is>
      </c>
      <c r="H264" s="11" t="n"/>
      <c r="I264" s="11" t="n"/>
      <c r="J264" s="11" t="inlineStr">
        <is>
          <t>Parkowa 4</t>
        </is>
      </c>
      <c r="K264" s="11" t="n"/>
      <c r="L264" s="11" t="inlineStr">
        <is>
          <t>Wlasciciel / Fachowiec</t>
        </is>
      </c>
      <c r="M264" s="12" t="n">
        <v>1</v>
      </c>
      <c r="N264" s="13" t="n">
        <v>5</v>
      </c>
      <c r="O264" s="9" t="inlineStr">
        <is>
          <t>Google Maps</t>
        </is>
      </c>
      <c r="P264" s="9" t="inlineStr">
        <is>
          <t>Nowa</t>
        </is>
      </c>
      <c r="Q264" s="10" t="n"/>
      <c r="R264" s="10" t="n"/>
      <c r="S264" s="11" t="inlineStr">
        <is>
          <t>[FACHOWIEC - nie klient] Wykonczenia wnetrz. Google Maps: 5 gw. z 1 opinii.</t>
        </is>
      </c>
      <c r="T264" s="11" t="n"/>
    </row>
    <row r="265" ht="22" customHeight="1">
      <c r="A265" s="9">
        <f>IF(C265="","",ROW()-1)</f>
        <v/>
      </c>
      <c r="B265" s="10" t="n">
        <v>46135</v>
      </c>
      <c r="C265" s="11" t="inlineStr">
        <is>
          <t>Manufaktura Wnetrz</t>
        </is>
      </c>
      <c r="D265" s="9" t="inlineStr">
        <is>
          <t>Firmy budowlane</t>
        </is>
      </c>
      <c r="E265" s="9" t="inlineStr">
        <is>
          <t>Sredni (zolty)</t>
        </is>
      </c>
      <c r="F265" s="9" t="n"/>
      <c r="G265" s="11" t="inlineStr">
        <is>
          <t>+48 602 512 438</t>
        </is>
      </c>
      <c r="H265" s="11" t="n"/>
      <c r="I265" s="11" t="n"/>
      <c r="J265" s="11" t="inlineStr">
        <is>
          <t> · Cieplarniana 44/2</t>
        </is>
      </c>
      <c r="K265" s="11" t="n"/>
      <c r="L265" s="11" t="inlineStr">
        <is>
          <t>Wlasciciel / Fachowiec</t>
        </is>
      </c>
      <c r="M265" s="12" t="n">
        <v>11</v>
      </c>
      <c r="N265" s="13" t="n">
        <v>4.8</v>
      </c>
      <c r="O265" s="9" t="inlineStr">
        <is>
          <t>Google Maps</t>
        </is>
      </c>
      <c r="P265" s="9" t="inlineStr">
        <is>
          <t>Nowa</t>
        </is>
      </c>
      <c r="Q265" s="10" t="n"/>
      <c r="R265" s="10" t="n"/>
      <c r="S265" s="11" t="inlineStr">
        <is>
          <t>[FACHOWIEC - nie klient] Wykonczenia wnetrz. Google Maps: 4.8 gw. z 11 opinii.</t>
        </is>
      </c>
      <c r="T265" s="11" t="n"/>
    </row>
    <row r="266" ht="22" customHeight="1">
      <c r="A266" s="9">
        <f>IF(C266="","",ROW()-1)</f>
        <v/>
      </c>
      <c r="B266" s="10" t="n">
        <v>46135</v>
      </c>
      <c r="C266" s="11" t="inlineStr">
        <is>
          <t>KODO wykonczenie mieszkania pod klucz Warszawa</t>
        </is>
      </c>
      <c r="D266" s="9" t="inlineStr">
        <is>
          <t>Firmy budowlane</t>
        </is>
      </c>
      <c r="E266" s="9" t="inlineStr">
        <is>
          <t>TOP (zielony)</t>
        </is>
      </c>
      <c r="F266" s="9" t="n"/>
      <c r="G266" s="11" t="inlineStr">
        <is>
          <t>+48 535 659 839</t>
        </is>
      </c>
      <c r="H266" s="11" t="n"/>
      <c r="I266" s="11" t="n"/>
      <c r="J266" s="11" t="inlineStr">
        <is>
          <t> · Juliana Ursyna Niemcewicza 17</t>
        </is>
      </c>
      <c r="K266" s="11" t="n"/>
      <c r="L266" s="11" t="inlineStr">
        <is>
          <t>Wlasciciel / Fachowiec</t>
        </is>
      </c>
      <c r="M266" s="12" t="n">
        <v>100</v>
      </c>
      <c r="N266" s="13" t="n">
        <v>4.1</v>
      </c>
      <c r="O266" s="9" t="inlineStr">
        <is>
          <t>Google Maps</t>
        </is>
      </c>
      <c r="P266" s="9" t="inlineStr">
        <is>
          <t>Nowa</t>
        </is>
      </c>
      <c r="Q266" s="10" t="n"/>
      <c r="R266" s="10" t="n"/>
      <c r="S266" s="11" t="inlineStr">
        <is>
          <t>[FACHOWIEC - nie klient] Wykonczenia wnetrz. Google Maps: 4.1 gw. z 100 opinii.</t>
        </is>
      </c>
      <c r="T266" s="11" t="n"/>
    </row>
    <row r="267" ht="22" customHeight="1">
      <c r="A267" s="9">
        <f>IF(C267="","",ROW()-1)</f>
        <v/>
      </c>
      <c r="B267" s="10" t="n">
        <v>46135</v>
      </c>
      <c r="C267" s="11" t="inlineStr">
        <is>
          <t>JR Remonty Warszawa | Kompleksowe Remonty Mieszkan Domow i Apartamentow</t>
        </is>
      </c>
      <c r="D267" s="9" t="inlineStr">
        <is>
          <t>Firmy budowlane</t>
        </is>
      </c>
      <c r="E267" s="9" t="inlineStr">
        <is>
          <t>TOP (zielony)</t>
        </is>
      </c>
      <c r="F267" s="9" t="n"/>
      <c r="G267" s="11" t="inlineStr">
        <is>
          <t>+48 780 108 498</t>
        </is>
      </c>
      <c r="H267" s="11" t="n"/>
      <c r="I267" s="11" t="n"/>
      <c r="J267" s="11" t="inlineStr">
        <is>
          <t>Osmanczyka 10</t>
        </is>
      </c>
      <c r="K267" s="11" t="n"/>
      <c r="L267" s="11" t="inlineStr">
        <is>
          <t>Wlasciciel / Fachowiec</t>
        </is>
      </c>
      <c r="M267" s="12" t="n">
        <v>77</v>
      </c>
      <c r="N267" s="13" t="n">
        <v>4.9</v>
      </c>
      <c r="O267" s="9" t="inlineStr">
        <is>
          <t>Google Maps</t>
        </is>
      </c>
      <c r="P267" s="9" t="inlineStr">
        <is>
          <t>Nowa</t>
        </is>
      </c>
      <c r="Q267" s="10" t="n"/>
      <c r="R267" s="10" t="n"/>
      <c r="S267" s="11" t="inlineStr">
        <is>
          <t>[FACHOWIEC - nie klient] Remonty ogolne. Google Maps: 4.9 gw. z 77 opinii.</t>
        </is>
      </c>
      <c r="T267" s="11" t="n"/>
    </row>
    <row r="268" ht="22" customHeight="1">
      <c r="A268" s="9">
        <f>IF(C268="","",ROW()-1)</f>
        <v/>
      </c>
      <c r="B268" s="10" t="n">
        <v>46135</v>
      </c>
      <c r="C268" s="11" t="inlineStr">
        <is>
          <t>Remont Warszawa Aaabadom</t>
        </is>
      </c>
      <c r="D268" s="9" t="inlineStr">
        <is>
          <t>Firmy budowlane</t>
        </is>
      </c>
      <c r="E268" s="9" t="inlineStr">
        <is>
          <t>TOP (zielony)</t>
        </is>
      </c>
      <c r="F268" s="9" t="n"/>
      <c r="G268" s="11" t="inlineStr">
        <is>
          <t>+48 500 163 291</t>
        </is>
      </c>
      <c r="H268" s="11" t="n"/>
      <c r="I268" s="11" t="n"/>
      <c r="J268" s="11" t="inlineStr">
        <is>
          <t>Młynarska 42/lok. 115</t>
        </is>
      </c>
      <c r="K268" s="11" t="n"/>
      <c r="L268" s="11" t="inlineStr">
        <is>
          <t>Wlasciciel / Fachowiec</t>
        </is>
      </c>
      <c r="M268" s="12" t="n">
        <v>42</v>
      </c>
      <c r="N268" s="13" t="n">
        <v>4.7</v>
      </c>
      <c r="O268" s="9" t="inlineStr">
        <is>
          <t>Google Maps</t>
        </is>
      </c>
      <c r="P268" s="9" t="inlineStr">
        <is>
          <t>Nowa</t>
        </is>
      </c>
      <c r="Q268" s="10" t="n"/>
      <c r="R268" s="10" t="n"/>
      <c r="S268" s="11" t="inlineStr">
        <is>
          <t>[FACHOWIEC - nie klient] Remonty ogolne. Google Maps: 4.7 gw. z 42 opinii.</t>
        </is>
      </c>
      <c r="T268" s="11" t="n"/>
    </row>
    <row r="269" ht="22" customHeight="1">
      <c r="A269" s="9">
        <f>IF(C269="","",ROW()-1)</f>
        <v/>
      </c>
      <c r="B269" s="10" t="n">
        <v>46135</v>
      </c>
      <c r="C269" s="11" t="inlineStr">
        <is>
          <t>Marek Gadzicki - Remonty Warszawa, usługi remontowe mieszkan i domow</t>
        </is>
      </c>
      <c r="D269" s="9" t="inlineStr">
        <is>
          <t>Firmy budowlane</t>
        </is>
      </c>
      <c r="E269" s="9" t="inlineStr">
        <is>
          <t>TOP (zielony)</t>
        </is>
      </c>
      <c r="F269" s="9" t="n"/>
      <c r="G269" s="11" t="inlineStr">
        <is>
          <t>+48 602 674 350</t>
        </is>
      </c>
      <c r="H269" s="11" t="n"/>
      <c r="I269" s="11" t="n"/>
      <c r="J269" s="11" t="inlineStr">
        <is>
          <t>Samarytanka 1</t>
        </is>
      </c>
      <c r="K269" s="11" t="n"/>
      <c r="L269" s="11" t="inlineStr">
        <is>
          <t>Wlasciciel / Fachowiec</t>
        </is>
      </c>
      <c r="M269" s="12" t="n">
        <v>39</v>
      </c>
      <c r="N269" s="13" t="n">
        <v>4.9</v>
      </c>
      <c r="O269" s="9" t="inlineStr">
        <is>
          <t>Google Maps</t>
        </is>
      </c>
      <c r="P269" s="9" t="inlineStr">
        <is>
          <t>Nowa</t>
        </is>
      </c>
      <c r="Q269" s="10" t="n"/>
      <c r="R269" s="10" t="n"/>
      <c r="S269" s="11" t="inlineStr">
        <is>
          <t>[FACHOWIEC - nie klient] Remonty ogolne. Google Maps: 4.9 gw. z 39 opinii.</t>
        </is>
      </c>
      <c r="T269" s="11" t="n"/>
    </row>
    <row r="270" ht="22" customHeight="1">
      <c r="A270" s="9">
        <f>IF(C270="","",ROW()-1)</f>
        <v/>
      </c>
      <c r="B270" s="10" t="n">
        <v>46135</v>
      </c>
      <c r="C270" s="11" t="inlineStr">
        <is>
          <t>Gotowe Mieszkanie</t>
        </is>
      </c>
      <c r="D270" s="9" t="inlineStr">
        <is>
          <t>Firmy budowlane</t>
        </is>
      </c>
      <c r="E270" s="9" t="inlineStr">
        <is>
          <t>TOP (zielony)</t>
        </is>
      </c>
      <c r="F270" s="9" t="n"/>
      <c r="G270" s="11" t="inlineStr">
        <is>
          <t>+48 531 752 752</t>
        </is>
      </c>
      <c r="H270" s="11" t="n"/>
      <c r="I270" s="11" t="n"/>
      <c r="J270" s="11" t="inlineStr">
        <is>
          <t> · Wiertnicza 63A</t>
        </is>
      </c>
      <c r="K270" s="11" t="n"/>
      <c r="L270" s="11" t="inlineStr">
        <is>
          <t>Wlasciciel / Fachowiec</t>
        </is>
      </c>
      <c r="M270" s="12" t="n">
        <v>507</v>
      </c>
      <c r="N270" s="13" t="n">
        <v>4.3</v>
      </c>
      <c r="O270" s="9" t="inlineStr">
        <is>
          <t>Google Maps</t>
        </is>
      </c>
      <c r="P270" s="9" t="inlineStr">
        <is>
          <t>Nowa</t>
        </is>
      </c>
      <c r="Q270" s="10" t="n"/>
      <c r="R270" s="10" t="n"/>
      <c r="S270" s="11" t="inlineStr">
        <is>
          <t>[FACHOWIEC - nie klient] Remonty ogolne. Google Maps: 4.3 gw. z 507 opinii.</t>
        </is>
      </c>
      <c r="T270" s="11" t="n"/>
    </row>
    <row r="271" ht="22" customHeight="1">
      <c r="A271" s="9">
        <f>IF(C271="","",ROW()-1)</f>
        <v/>
      </c>
      <c r="B271" s="10" t="n">
        <v>46135</v>
      </c>
      <c r="C271" s="11" t="inlineStr">
        <is>
          <t>Remonty Warszawa - Tyrbud</t>
        </is>
      </c>
      <c r="D271" s="9" t="inlineStr">
        <is>
          <t>Firmy budowlane</t>
        </is>
      </c>
      <c r="E271" s="9" t="inlineStr">
        <is>
          <t>TOP (zielony)</t>
        </is>
      </c>
      <c r="F271" s="9" t="n"/>
      <c r="G271" s="11" t="inlineStr">
        <is>
          <t>+48 600 027 299</t>
        </is>
      </c>
      <c r="H271" s="11" t="n"/>
      <c r="I271" s="11" t="n"/>
      <c r="J271" s="11" t="inlineStr">
        <is>
          <t>Dobra 31</t>
        </is>
      </c>
      <c r="K271" s="11" t="n"/>
      <c r="L271" s="11" t="inlineStr">
        <is>
          <t>Wlasciciel / Fachowiec</t>
        </is>
      </c>
      <c r="M271" s="12" t="n">
        <v>31</v>
      </c>
      <c r="N271" s="13" t="n">
        <v>4.9</v>
      </c>
      <c r="O271" s="9" t="inlineStr">
        <is>
          <t>Google Maps</t>
        </is>
      </c>
      <c r="P271" s="9" t="inlineStr">
        <is>
          <t>Nowa</t>
        </is>
      </c>
      <c r="Q271" s="10" t="n"/>
      <c r="R271" s="10" t="n"/>
      <c r="S271" s="11" t="inlineStr">
        <is>
          <t>[FACHOWIEC - nie klient] Remonty ogolne. Google Maps: 4.9 gw. z 31 opinii.</t>
        </is>
      </c>
      <c r="T271" s="11" t="n"/>
    </row>
    <row r="272" ht="22" customHeight="1">
      <c r="A272" s="9">
        <f>IF(C272="","",ROW()-1)</f>
        <v/>
      </c>
      <c r="B272" s="10" t="n">
        <v>46135</v>
      </c>
      <c r="C272" s="11" t="inlineStr">
        <is>
          <t>Ekipa Remontowa</t>
        </is>
      </c>
      <c r="D272" s="9" t="inlineStr">
        <is>
          <t>Firmy budowlane</t>
        </is>
      </c>
      <c r="E272" s="9" t="inlineStr">
        <is>
          <t>TOP (zielony)</t>
        </is>
      </c>
      <c r="F272" s="9" t="n"/>
      <c r="G272" s="11" t="inlineStr">
        <is>
          <t>+48 600 408 182</t>
        </is>
      </c>
      <c r="H272" s="11" t="n"/>
      <c r="I272" s="11" t="n"/>
      <c r="J272" s="11" t="inlineStr">
        <is>
          <t>Zagłoby 18/50</t>
        </is>
      </c>
      <c r="K272" s="11" t="n"/>
      <c r="L272" s="11" t="inlineStr">
        <is>
          <t>Wlasciciel / Fachowiec</t>
        </is>
      </c>
      <c r="M272" s="12" t="n">
        <v>41</v>
      </c>
      <c r="N272" s="13" t="n">
        <v>5</v>
      </c>
      <c r="O272" s="9" t="inlineStr">
        <is>
          <t>Google Maps</t>
        </is>
      </c>
      <c r="P272" s="9" t="inlineStr">
        <is>
          <t>Nowa</t>
        </is>
      </c>
      <c r="Q272" s="10" t="n"/>
      <c r="R272" s="10" t="n"/>
      <c r="S272" s="11" t="inlineStr">
        <is>
          <t>[FACHOWIEC - nie klient] Remonty ogolne. Google Maps: 5 gw. z 41 opinii.</t>
        </is>
      </c>
      <c r="T272" s="11" t="n"/>
    </row>
    <row r="273" ht="22" customHeight="1">
      <c r="A273" s="9">
        <f>IF(C273="","",ROW()-1)</f>
        <v/>
      </c>
      <c r="B273" s="10" t="n">
        <v>46135</v>
      </c>
      <c r="C273" s="11" t="inlineStr">
        <is>
          <t>Kompleksowe Remonty Warszawa Remonty Łazienek</t>
        </is>
      </c>
      <c r="D273" s="9" t="inlineStr">
        <is>
          <t>Firmy budowlane</t>
        </is>
      </c>
      <c r="E273" s="9" t="inlineStr">
        <is>
          <t>Niski (czerwony)</t>
        </is>
      </c>
      <c r="F273" s="9" t="n"/>
      <c r="G273" s="11" t="inlineStr">
        <is>
          <t>+48 792 659 463</t>
        </is>
      </c>
      <c r="H273" s="11" t="n"/>
      <c r="I273" s="11" t="n"/>
      <c r="J273" s="11" t="inlineStr">
        <is>
          <t>Promienna 33E/m.63</t>
        </is>
      </c>
      <c r="K273" s="11" t="n"/>
      <c r="L273" s="11" t="inlineStr">
        <is>
          <t>Wlasciciel / Fachowiec</t>
        </is>
      </c>
      <c r="M273" s="12" t="n">
        <v>4</v>
      </c>
      <c r="N273" s="13" t="n">
        <v>5</v>
      </c>
      <c r="O273" s="9" t="inlineStr">
        <is>
          <t>Google Maps</t>
        </is>
      </c>
      <c r="P273" s="9" t="inlineStr">
        <is>
          <t>Nowa</t>
        </is>
      </c>
      <c r="Q273" s="10" t="n"/>
      <c r="R273" s="10" t="n"/>
      <c r="S273" s="11" t="inlineStr">
        <is>
          <t>[FACHOWIEC - nie klient] Remonty ogolne. Google Maps: 5 gw. z 4 opinii.</t>
        </is>
      </c>
      <c r="T273" s="11" t="n"/>
    </row>
    <row r="274" ht="22" customHeight="1">
      <c r="A274" s="9">
        <f>IF(C274="","",ROW()-1)</f>
        <v/>
      </c>
      <c r="B274" s="10" t="n">
        <v>46135</v>
      </c>
      <c r="C274" s="11" t="inlineStr">
        <is>
          <t>Łazienka Seniora Firma Remontowa</t>
        </is>
      </c>
      <c r="D274" s="9" t="inlineStr">
        <is>
          <t>Firmy budowlane</t>
        </is>
      </c>
      <c r="E274" s="9" t="inlineStr">
        <is>
          <t>TOP (zielony)</t>
        </is>
      </c>
      <c r="F274" s="9" t="n"/>
      <c r="G274" s="11" t="inlineStr">
        <is>
          <t>+48 730 540 210</t>
        </is>
      </c>
      <c r="H274" s="11" t="n"/>
      <c r="I274" s="11" t="n"/>
      <c r="J274" s="11" t="inlineStr">
        <is>
          <t>Al. Jerozolimskie 53</t>
        </is>
      </c>
      <c r="K274" s="11" t="n"/>
      <c r="L274" s="11" t="inlineStr">
        <is>
          <t>Wlasciciel / Fachowiec</t>
        </is>
      </c>
      <c r="M274" s="12" t="n">
        <v>39</v>
      </c>
      <c r="N274" s="13" t="n">
        <v>4.5</v>
      </c>
      <c r="O274" s="9" t="inlineStr">
        <is>
          <t>Google Maps</t>
        </is>
      </c>
      <c r="P274" s="9" t="inlineStr">
        <is>
          <t>Nowa</t>
        </is>
      </c>
      <c r="Q274" s="10" t="n"/>
      <c r="R274" s="10" t="n"/>
      <c r="S274" s="11" t="inlineStr">
        <is>
          <t>[FACHOWIEC - nie klient] Remonty ogolne. Google Maps: 4.5 gw. z 39 opinii.</t>
        </is>
      </c>
      <c r="T274" s="11" t="n"/>
    </row>
    <row r="275" ht="22" customHeight="1">
      <c r="A275" s="9">
        <f>IF(C275="","",ROW()-1)</f>
        <v/>
      </c>
      <c r="B275" s="10" t="n">
        <v>46135</v>
      </c>
      <c r="C275" s="11" t="inlineStr">
        <is>
          <t>Dekorus</t>
        </is>
      </c>
      <c r="D275" s="9" t="inlineStr">
        <is>
          <t>Firmy budowlane</t>
        </is>
      </c>
      <c r="E275" s="9" t="inlineStr">
        <is>
          <t>TOP (zielony)</t>
        </is>
      </c>
      <c r="F275" s="9" t="n"/>
      <c r="G275" s="11" t="inlineStr">
        <is>
          <t>+48 22 819 15 70</t>
        </is>
      </c>
      <c r="H275" s="11" t="n"/>
      <c r="I275" s="11" t="n"/>
      <c r="J275" s="11" t="inlineStr">
        <is>
          <t> · Modlinska 383</t>
        </is>
      </c>
      <c r="K275" s="11" t="n"/>
      <c r="L275" s="11" t="inlineStr">
        <is>
          <t>Wlasciciel / Fachowiec</t>
        </is>
      </c>
      <c r="M275" s="12" t="n">
        <v>297</v>
      </c>
      <c r="N275" s="13" t="n">
        <v>4.6</v>
      </c>
      <c r="O275" s="9" t="inlineStr">
        <is>
          <t>Google Maps</t>
        </is>
      </c>
      <c r="P275" s="9" t="inlineStr">
        <is>
          <t>Nowa</t>
        </is>
      </c>
      <c r="Q275" s="10" t="n"/>
      <c r="R275" s="10" t="n"/>
      <c r="S275" s="11" t="inlineStr">
        <is>
          <t>[FACHOWIEC - nie klient] Remonty ogolne. Google Maps: 4.6 gw. z 297 opinii.</t>
        </is>
      </c>
      <c r="T275" s="11" t="n"/>
    </row>
    <row r="276" ht="22" customHeight="1">
      <c r="A276" s="9">
        <f>IF(C276="","",ROW()-1)</f>
        <v/>
      </c>
      <c r="B276" s="10" t="n">
        <v>46135</v>
      </c>
      <c r="C276" s="11" t="inlineStr">
        <is>
          <t>Meble-Stolarczyk</t>
        </is>
      </c>
      <c r="D276" s="9" t="inlineStr">
        <is>
          <t>Firmy budowlane</t>
        </is>
      </c>
      <c r="E276" s="9" t="inlineStr">
        <is>
          <t>TOP (zielony)</t>
        </is>
      </c>
      <c r="F276" s="9" t="n"/>
      <c r="G276" s="11" t="inlineStr">
        <is>
          <t>+48 503 163 626</t>
        </is>
      </c>
      <c r="H276" s="11" t="n"/>
      <c r="I276" s="11" t="n"/>
      <c r="J276" s="11" t="inlineStr">
        <is>
          <t>Saska 48A</t>
        </is>
      </c>
      <c r="K276" s="11" t="n"/>
      <c r="L276" s="11" t="inlineStr">
        <is>
          <t>Wlasciciel / Fachowiec</t>
        </is>
      </c>
      <c r="M276" s="12" t="n">
        <v>62</v>
      </c>
      <c r="N276" s="13" t="n">
        <v>4.8</v>
      </c>
      <c r="O276" s="9" t="inlineStr">
        <is>
          <t>Google Maps</t>
        </is>
      </c>
      <c r="P276" s="9" t="inlineStr">
        <is>
          <t>Nowa</t>
        </is>
      </c>
      <c r="Q276" s="10" t="n"/>
      <c r="R276" s="10" t="n"/>
      <c r="S276" s="11" t="inlineStr">
        <is>
          <t>[FACHOWIEC - nie klient] Meble na wymiar. Google Maps: 4.8 gw. z 62 opinii.</t>
        </is>
      </c>
      <c r="T276" s="11" t="n"/>
    </row>
    <row r="277" ht="22" customHeight="1">
      <c r="A277" s="9">
        <f>IF(C277="","",ROW()-1)</f>
        <v/>
      </c>
      <c r="B277" s="10" t="n">
        <v>46135</v>
      </c>
      <c r="C277" s="11" t="inlineStr">
        <is>
          <t>Medrus Okna Warszawa - okna pcv - drzwi pcv - okna montaz - okna wymiana - Aluplast Okna Medrus</t>
        </is>
      </c>
      <c r="D277" s="9" t="inlineStr">
        <is>
          <t>Firmy budowlane</t>
        </is>
      </c>
      <c r="E277" s="9" t="inlineStr">
        <is>
          <t>TOP (zielony)</t>
        </is>
      </c>
      <c r="F277" s="9" t="n"/>
      <c r="G277" s="11" t="inlineStr">
        <is>
          <t>+48 22 128 49 20</t>
        </is>
      </c>
      <c r="H277" s="11" t="n"/>
      <c r="I277" s="11" t="n"/>
      <c r="J277" s="11" t="inlineStr">
        <is>
          <t> · Gruchacza 35/B</t>
        </is>
      </c>
      <c r="K277" s="11" t="n"/>
      <c r="L277" s="11" t="inlineStr">
        <is>
          <t>Wlasciciel / Fachowiec</t>
        </is>
      </c>
      <c r="M277" s="12" t="n">
        <v>361</v>
      </c>
      <c r="N277" s="13" t="n">
        <v>4.9</v>
      </c>
      <c r="O277" s="9" t="inlineStr">
        <is>
          <t>Google Maps</t>
        </is>
      </c>
      <c r="P277" s="9" t="inlineStr">
        <is>
          <t>Nowa</t>
        </is>
      </c>
      <c r="Q277" s="10" t="n"/>
      <c r="R277" s="10" t="n"/>
      <c r="S277" s="11" t="inlineStr">
        <is>
          <t>[FACHOWIEC - nie klient] Okna / drzwi. Google Maps: 4.9 gw. z 361 opinii.</t>
        </is>
      </c>
      <c r="T277" s="11" t="n"/>
    </row>
    <row r="278" ht="22" customHeight="1">
      <c r="A278" s="9">
        <f>IF(C278="","",ROW()-1)</f>
        <v/>
      </c>
      <c r="B278" s="10" t="n">
        <v>46135</v>
      </c>
      <c r="C278" s="11" t="inlineStr">
        <is>
          <t>Drewnosquad.pl - Stolarz, cyklinowanie podłog, blaty, schody drewniane Warszawa</t>
        </is>
      </c>
      <c r="D278" s="9" t="inlineStr">
        <is>
          <t>Firmy budowlane</t>
        </is>
      </c>
      <c r="E278" s="9" t="inlineStr">
        <is>
          <t>TOP (zielony)</t>
        </is>
      </c>
      <c r="F278" s="9" t="n"/>
      <c r="G278" s="11" t="inlineStr">
        <is>
          <t>+48 794 397 001</t>
        </is>
      </c>
      <c r="H278" s="11" t="n"/>
      <c r="I278" s="11" t="n"/>
      <c r="J278" s="11" t="inlineStr">
        <is>
          <t>Zwolenska 5B</t>
        </is>
      </c>
      <c r="K278" s="11" t="n"/>
      <c r="L278" s="11" t="inlineStr">
        <is>
          <t>Wlasciciel / Fachowiec</t>
        </is>
      </c>
      <c r="M278" s="12" t="n">
        <v>31</v>
      </c>
      <c r="N278" s="13" t="n">
        <v>4.8</v>
      </c>
      <c r="O278" s="9" t="inlineStr">
        <is>
          <t>Google Maps</t>
        </is>
      </c>
      <c r="P278" s="9" t="inlineStr">
        <is>
          <t>Nowa</t>
        </is>
      </c>
      <c r="Q278" s="10" t="n"/>
      <c r="R278" s="10" t="n"/>
      <c r="S278" s="11" t="inlineStr">
        <is>
          <t>[FACHOWIEC - nie klient] Schody drewniane. Google Maps: 4.8 gw. z 31 opinii.</t>
        </is>
      </c>
      <c r="T278" s="11" t="n"/>
    </row>
    <row r="279" ht="22" customHeight="1">
      <c r="A279" s="9">
        <f>IF(C279="","",ROW()-1)</f>
        <v/>
      </c>
      <c r="B279" s="10" t="n">
        <v>46135</v>
      </c>
      <c r="C279" s="11" t="inlineStr">
        <is>
          <t>Drewnowawer.pl - Schody</t>
        </is>
      </c>
      <c r="D279" s="9" t="inlineStr">
        <is>
          <t>Firmy budowlane</t>
        </is>
      </c>
      <c r="E279" s="9" t="inlineStr">
        <is>
          <t>Sredni (zolty)</t>
        </is>
      </c>
      <c r="F279" s="9" t="n"/>
      <c r="G279" s="11" t="inlineStr">
        <is>
          <t>+48 692 133 814</t>
        </is>
      </c>
      <c r="H279" s="11" t="n"/>
      <c r="I279" s="11" t="n"/>
      <c r="J279" s="11" t="inlineStr">
        <is>
          <t>Wał Miedzeszynski 66</t>
        </is>
      </c>
      <c r="K279" s="11" t="n"/>
      <c r="L279" s="11" t="inlineStr">
        <is>
          <t>Wlasciciel / Fachowiec</t>
        </is>
      </c>
      <c r="M279" s="12" t="n">
        <v>16</v>
      </c>
      <c r="N279" s="13" t="n">
        <v>4.8</v>
      </c>
      <c r="O279" s="9" t="inlineStr">
        <is>
          <t>Google Maps</t>
        </is>
      </c>
      <c r="P279" s="9" t="inlineStr">
        <is>
          <t>Nowa</t>
        </is>
      </c>
      <c r="Q279" s="10" t="n"/>
      <c r="R279" s="10" t="n"/>
      <c r="S279" s="11" t="inlineStr">
        <is>
          <t>[FACHOWIEC - nie klient] Schody drewniane. Google Maps: 4.8 gw. z 16 opinii.</t>
        </is>
      </c>
      <c r="T279" s="11" t="n"/>
    </row>
    <row r="280" ht="22" customHeight="1">
      <c r="A280" s="9">
        <f>IF(C280="","",ROW()-1)</f>
        <v/>
      </c>
      <c r="B280" s="10" t="n">
        <v>46135</v>
      </c>
      <c r="C280" s="11" t="inlineStr">
        <is>
          <t>Parkiet Studio - parkiety, podłogi drewniane, schody, tarasy</t>
        </is>
      </c>
      <c r="D280" s="9" t="inlineStr">
        <is>
          <t>Firmy budowlane</t>
        </is>
      </c>
      <c r="E280" s="9" t="inlineStr">
        <is>
          <t>TOP (zielony)</t>
        </is>
      </c>
      <c r="F280" s="9" t="n"/>
      <c r="G280" s="11" t="inlineStr">
        <is>
          <t>+48 535 015 014</t>
        </is>
      </c>
      <c r="H280" s="11" t="n"/>
      <c r="I280" s="11" t="n"/>
      <c r="J280" s="11" t="inlineStr">
        <is>
          <t> · Domaniewska 37 b</t>
        </is>
      </c>
      <c r="K280" s="11" t="n"/>
      <c r="L280" s="11" t="inlineStr">
        <is>
          <t>Wlasciciel / Fachowiec</t>
        </is>
      </c>
      <c r="M280" s="12" t="n">
        <v>251</v>
      </c>
      <c r="N280" s="13" t="n">
        <v>4.8</v>
      </c>
      <c r="O280" s="9" t="inlineStr">
        <is>
          <t>Google Maps</t>
        </is>
      </c>
      <c r="P280" s="9" t="inlineStr">
        <is>
          <t>Nowa</t>
        </is>
      </c>
      <c r="Q280" s="10" t="n"/>
      <c r="R280" s="10" t="n"/>
      <c r="S280" s="11" t="inlineStr">
        <is>
          <t>[FACHOWIEC - nie klient] Schody drewniane. Google Maps: 4.8 gw. z 251 opinii.</t>
        </is>
      </c>
      <c r="T280" s="11" t="n"/>
    </row>
    <row r="281" ht="22" customHeight="1">
      <c r="A281" s="9">
        <f>IF(C281="","",ROW()-1)</f>
        <v/>
      </c>
      <c r="B281" s="10" t="n">
        <v>46135</v>
      </c>
      <c r="C281" s="11" t="inlineStr">
        <is>
          <t>Schody Warszawa - wykonawca schodow, Rintal Polska Sp. z o.o.</t>
        </is>
      </c>
      <c r="D281" s="9" t="inlineStr">
        <is>
          <t>Firmy budowlane</t>
        </is>
      </c>
      <c r="E281" s="9" t="inlineStr">
        <is>
          <t>TOP (zielony)</t>
        </is>
      </c>
      <c r="F281" s="9" t="n"/>
      <c r="G281" s="11" t="inlineStr">
        <is>
          <t>+48 607 684 703</t>
        </is>
      </c>
      <c r="H281" s="11" t="n"/>
      <c r="I281" s="11" t="n"/>
      <c r="J281" s="11" t="inlineStr">
        <is>
          <t>Centrum Handlowe HOME CONCEPT, Al. Jerozolimskie 185/lokal 38A</t>
        </is>
      </c>
      <c r="K281" s="11" t="n"/>
      <c r="L281" s="11" t="inlineStr">
        <is>
          <t>Wlasciciel / Fachowiec</t>
        </is>
      </c>
      <c r="M281" s="12" t="n">
        <v>46</v>
      </c>
      <c r="N281" s="13" t="n">
        <v>4.3</v>
      </c>
      <c r="O281" s="9" t="inlineStr">
        <is>
          <t>Google Maps</t>
        </is>
      </c>
      <c r="P281" s="9" t="inlineStr">
        <is>
          <t>Nowa</t>
        </is>
      </c>
      <c r="Q281" s="10" t="n"/>
      <c r="R281" s="10" t="n"/>
      <c r="S281" s="11" t="inlineStr">
        <is>
          <t>[FACHOWIEC - nie klient] Schody drewniane. Google Maps: 4.3 gw. z 46 opinii.</t>
        </is>
      </c>
      <c r="T281" s="11" t="n"/>
    </row>
    <row r="282" ht="22" customHeight="1">
      <c r="A282" s="9">
        <f>IF(C282="","",ROW()-1)</f>
        <v/>
      </c>
      <c r="B282" s="10" t="n">
        <v>46135</v>
      </c>
      <c r="C282" s="11" t="inlineStr">
        <is>
          <t>Styl Drzewa salon Warszawa. Drewniane podłogi, drzwi i schody</t>
        </is>
      </c>
      <c r="D282" s="9" t="inlineStr">
        <is>
          <t>Firmy budowlane</t>
        </is>
      </c>
      <c r="E282" s="9" t="inlineStr">
        <is>
          <t>TOP (zielony)</t>
        </is>
      </c>
      <c r="F282" s="9" t="n"/>
      <c r="G282" s="11" t="inlineStr">
        <is>
          <t>+48 530 958 635</t>
        </is>
      </c>
      <c r="H282" s="11" t="n"/>
      <c r="I282" s="11" t="n"/>
      <c r="J282" s="11" t="inlineStr">
        <is>
          <t> · Łopuszanska 32</t>
        </is>
      </c>
      <c r="K282" s="11" t="n"/>
      <c r="L282" s="11" t="inlineStr">
        <is>
          <t>Wlasciciel / Fachowiec</t>
        </is>
      </c>
      <c r="M282" s="12" t="n">
        <v>126</v>
      </c>
      <c r="N282" s="13" t="n">
        <v>4.3</v>
      </c>
      <c r="O282" s="9" t="inlineStr">
        <is>
          <t>Google Maps</t>
        </is>
      </c>
      <c r="P282" s="9" t="inlineStr">
        <is>
          <t>Nowa</t>
        </is>
      </c>
      <c r="Q282" s="10" t="n"/>
      <c r="R282" s="10" t="n"/>
      <c r="S282" s="11" t="inlineStr">
        <is>
          <t>[FACHOWIEC - nie klient] Schody drewniane. Google Maps: 4.3 gw. z 126 opinii.</t>
        </is>
      </c>
      <c r="T282" s="11" t="n"/>
    </row>
    <row r="283" ht="22" customHeight="1">
      <c r="A283" s="9">
        <f>IF(C283="","",ROW()-1)</f>
        <v/>
      </c>
      <c r="B283" s="10" t="n">
        <v>46135</v>
      </c>
      <c r="C283" s="11" t="inlineStr">
        <is>
          <t>Manufaktura Schodow Warszawa - Schody, balustrady, pergole, przeszklenia loftowe</t>
        </is>
      </c>
      <c r="D283" s="9" t="inlineStr">
        <is>
          <t>Firmy budowlane</t>
        </is>
      </c>
      <c r="E283" s="9" t="inlineStr">
        <is>
          <t>TOP (zielony)</t>
        </is>
      </c>
      <c r="F283" s="9" t="n"/>
      <c r="G283" s="11" t="inlineStr">
        <is>
          <t>+48 600 555 479</t>
        </is>
      </c>
      <c r="H283" s="11" t="n"/>
      <c r="I283" s="11" t="n"/>
      <c r="J283" s="11" t="inlineStr">
        <is>
          <t>Wierzbowa 16</t>
        </is>
      </c>
      <c r="K283" s="11" t="n"/>
      <c r="L283" s="11" t="inlineStr">
        <is>
          <t>Wlasciciel / Fachowiec</t>
        </is>
      </c>
      <c r="M283" s="12" t="n">
        <v>42</v>
      </c>
      <c r="N283" s="13" t="n">
        <v>4.9</v>
      </c>
      <c r="O283" s="9" t="inlineStr">
        <is>
          <t>Google Maps</t>
        </is>
      </c>
      <c r="P283" s="9" t="inlineStr">
        <is>
          <t>Nowa</t>
        </is>
      </c>
      <c r="Q283" s="10" t="n"/>
      <c r="R283" s="10" t="n"/>
      <c r="S283" s="11" t="inlineStr">
        <is>
          <t>[FACHOWIEC - nie klient] Schody drewniane. Google Maps: 4.9 gw. z 42 opinii.</t>
        </is>
      </c>
      <c r="T283" s="11" t="n"/>
    </row>
    <row r="284" ht="22" customHeight="1">
      <c r="A284" s="9">
        <f>IF(C284="","",ROW()-1)</f>
        <v/>
      </c>
      <c r="B284" s="10" t="n">
        <v>46135</v>
      </c>
      <c r="C284" s="11" t="inlineStr">
        <is>
          <t>KARANT meble kuchenne</t>
        </is>
      </c>
      <c r="D284" s="9" t="inlineStr">
        <is>
          <t>Firmy budowlane</t>
        </is>
      </c>
      <c r="E284" s="9" t="inlineStr">
        <is>
          <t>TOP (zielony)</t>
        </is>
      </c>
      <c r="F284" s="9" t="n"/>
      <c r="G284" s="11" t="inlineStr">
        <is>
          <t>+48 721 222 858</t>
        </is>
      </c>
      <c r="H284" s="11" t="n"/>
      <c r="I284" s="11" t="n"/>
      <c r="J284" s="11" t="inlineStr">
        <is>
          <t>Grochowska 170A</t>
        </is>
      </c>
      <c r="K284" s="11" t="n"/>
      <c r="L284" s="11" t="inlineStr">
        <is>
          <t>Wlasciciel / Fachowiec</t>
        </is>
      </c>
      <c r="M284" s="12" t="n">
        <v>104</v>
      </c>
      <c r="N284" s="13" t="n">
        <v>4.9</v>
      </c>
      <c r="O284" s="9" t="inlineStr">
        <is>
          <t>Google Maps</t>
        </is>
      </c>
      <c r="P284" s="9" t="inlineStr">
        <is>
          <t>Nowa</t>
        </is>
      </c>
      <c r="Q284" s="10" t="n"/>
      <c r="R284" s="10" t="n"/>
      <c r="S284" s="11" t="inlineStr">
        <is>
          <t>[FACHOWIEC - nie klient] Meble kuchenne. Google Maps: 4.9 gw. z 104 opinii.</t>
        </is>
      </c>
      <c r="T284" s="11" t="n"/>
    </row>
    <row r="285" ht="22" customHeight="1">
      <c r="A285" s="9">
        <f>IF(C285="","",ROW()-1)</f>
        <v/>
      </c>
      <c r="B285" s="10" t="n">
        <v>46135</v>
      </c>
      <c r="C285" s="11" t="inlineStr">
        <is>
          <t>Serwis AGD Warszawa</t>
        </is>
      </c>
      <c r="D285" s="9" t="inlineStr">
        <is>
          <t>Firmy budowlane</t>
        </is>
      </c>
      <c r="E285" s="9" t="inlineStr">
        <is>
          <t>TOP (zielony)</t>
        </is>
      </c>
      <c r="F285" s="9" t="n"/>
      <c r="G285" s="11" t="inlineStr">
        <is>
          <t>+48 22 230 26 35</t>
        </is>
      </c>
      <c r="H285" s="11" t="n"/>
      <c r="I285" s="11" t="n"/>
      <c r="J285" s="11" t="inlineStr">
        <is>
          <t>Zabkowska 30</t>
        </is>
      </c>
      <c r="K285" s="11" t="n"/>
      <c r="L285" s="11" t="inlineStr">
        <is>
          <t>Wlasciciel / Fachowiec</t>
        </is>
      </c>
      <c r="M285" s="12" t="n">
        <v>65</v>
      </c>
      <c r="N285" s="13" t="n">
        <v>4.7</v>
      </c>
      <c r="O285" s="9" t="inlineStr">
        <is>
          <t>Google Maps</t>
        </is>
      </c>
      <c r="P285" s="9" t="inlineStr">
        <is>
          <t>Nowa</t>
        </is>
      </c>
      <c r="Q285" s="10" t="n"/>
      <c r="R285" s="10" t="n"/>
      <c r="S285" s="11" t="inlineStr">
        <is>
          <t>[FACHOWIEC - nie klient] Serwis AGD. Google Maps: 4.7 gw. z 65 opinii.</t>
        </is>
      </c>
      <c r="T285" s="11" t="n"/>
    </row>
    <row r="286" ht="22" customHeight="1">
      <c r="A286" s="9">
        <f>IF(C286="","",ROW()-1)</f>
        <v/>
      </c>
      <c r="B286" s="10" t="n">
        <v>46135</v>
      </c>
      <c r="C286" s="11" t="inlineStr">
        <is>
          <t>🥇 Serwis AGD Robert Swiech</t>
        </is>
      </c>
      <c r="D286" s="9" t="inlineStr">
        <is>
          <t>Firmy budowlane</t>
        </is>
      </c>
      <c r="E286" s="9" t="inlineStr">
        <is>
          <t>TOP (zielony)</t>
        </is>
      </c>
      <c r="F286" s="9" t="n"/>
      <c r="G286" s="11" t="inlineStr">
        <is>
          <t>+48 512 580 352</t>
        </is>
      </c>
      <c r="H286" s="11" t="n"/>
      <c r="I286" s="11" t="n"/>
      <c r="J286" s="11" t="inlineStr">
        <is>
          <t> · Władysława Broniewskiego 37</t>
        </is>
      </c>
      <c r="K286" s="11" t="n"/>
      <c r="L286" s="11" t="inlineStr">
        <is>
          <t>Wlasciciel / Fachowiec</t>
        </is>
      </c>
      <c r="M286" s="12" t="n">
        <v>397</v>
      </c>
      <c r="N286" s="13" t="n">
        <v>4.8</v>
      </c>
      <c r="O286" s="9" t="inlineStr">
        <is>
          <t>Google Maps</t>
        </is>
      </c>
      <c r="P286" s="9" t="inlineStr">
        <is>
          <t>Nowa</t>
        </is>
      </c>
      <c r="Q286" s="10" t="n"/>
      <c r="R286" s="10" t="n"/>
      <c r="S286" s="11" t="inlineStr">
        <is>
          <t>[FACHOWIEC - nie klient] Serwis AGD. Google Maps: 4.8 gw. z 397 opinii.</t>
        </is>
      </c>
      <c r="T286" s="11" t="n"/>
    </row>
    <row r="287" ht="22" customHeight="1">
      <c r="A287" s="9">
        <f>IF(C287="","",ROW()-1)</f>
        <v/>
      </c>
      <c r="B287" s="10" t="n">
        <v>46135</v>
      </c>
      <c r="C287" s="11" t="inlineStr">
        <is>
          <t>Serwis AGD Warszawa</t>
        </is>
      </c>
      <c r="D287" s="9" t="inlineStr">
        <is>
          <t>Firmy budowlane</t>
        </is>
      </c>
      <c r="E287" s="9" t="inlineStr">
        <is>
          <t>TOP (zielony)</t>
        </is>
      </c>
      <c r="F287" s="9" t="n"/>
      <c r="G287" s="11" t="inlineStr">
        <is>
          <t>+48 22 125 51 73</t>
        </is>
      </c>
      <c r="H287" s="11" t="n"/>
      <c r="I287" s="11" t="n"/>
      <c r="J287" s="11" t="inlineStr">
        <is>
          <t>Iganska 11</t>
        </is>
      </c>
      <c r="K287" s="11" t="n"/>
      <c r="L287" s="11" t="inlineStr">
        <is>
          <t>Wlasciciel / Fachowiec</t>
        </is>
      </c>
      <c r="M287" s="12" t="n">
        <v>172</v>
      </c>
      <c r="N287" s="13" t="n">
        <v>4.2</v>
      </c>
      <c r="O287" s="9" t="inlineStr">
        <is>
          <t>Google Maps</t>
        </is>
      </c>
      <c r="P287" s="9" t="inlineStr">
        <is>
          <t>Nowa</t>
        </is>
      </c>
      <c r="Q287" s="10" t="n"/>
      <c r="R287" s="10" t="n"/>
      <c r="S287" s="11" t="inlineStr">
        <is>
          <t>[FACHOWIEC - nie klient] Serwis AGD. Google Maps: 4.2 gw. z 172 opinii.</t>
        </is>
      </c>
      <c r="T287" s="11" t="n"/>
    </row>
    <row r="288" ht="22" customHeight="1">
      <c r="A288" s="9">
        <f>IF(C288="","",ROW()-1)</f>
        <v/>
      </c>
      <c r="B288" s="10" t="n">
        <v>46135</v>
      </c>
      <c r="C288" s="11" t="inlineStr">
        <is>
          <t>Naprawa AGD nad Wisła</t>
        </is>
      </c>
      <c r="D288" s="9" t="inlineStr">
        <is>
          <t>Firmy budowlane</t>
        </is>
      </c>
      <c r="E288" s="9" t="inlineStr">
        <is>
          <t>TOP (zielony)</t>
        </is>
      </c>
      <c r="F288" s="9" t="n"/>
      <c r="G288" s="11" t="inlineStr">
        <is>
          <t>+48 22 230 22 64</t>
        </is>
      </c>
      <c r="H288" s="11" t="n"/>
      <c r="I288" s="11" t="n"/>
      <c r="J288" s="11" t="inlineStr">
        <is>
          <t>Puławska 427</t>
        </is>
      </c>
      <c r="K288" s="11" t="n"/>
      <c r="L288" s="11" t="inlineStr">
        <is>
          <t>Wlasciciel / Fachowiec</t>
        </is>
      </c>
      <c r="M288" s="12" t="n">
        <v>55</v>
      </c>
      <c r="N288" s="13" t="n">
        <v>4.5</v>
      </c>
      <c r="O288" s="9" t="inlineStr">
        <is>
          <t>Google Maps</t>
        </is>
      </c>
      <c r="P288" s="9" t="inlineStr">
        <is>
          <t>Nowa</t>
        </is>
      </c>
      <c r="Q288" s="10" t="n"/>
      <c r="R288" s="10" t="n"/>
      <c r="S288" s="11" t="inlineStr">
        <is>
          <t>[FACHOWIEC - nie klient] Serwis AGD. Google Maps: 4.5 gw. z 55 opinii.</t>
        </is>
      </c>
      <c r="T288" s="11" t="n"/>
    </row>
    <row r="289" ht="22" customHeight="1">
      <c r="A289" s="9">
        <f>IF(C289="","",ROW()-1)</f>
        <v/>
      </c>
      <c r="B289" s="10" t="n">
        <v>46135</v>
      </c>
      <c r="C289" s="11" t="inlineStr">
        <is>
          <t>Serwis AGD Andrzej Jankowski</t>
        </is>
      </c>
      <c r="D289" s="9" t="inlineStr">
        <is>
          <t>Firmy budowlane</t>
        </is>
      </c>
      <c r="E289" s="9" t="inlineStr">
        <is>
          <t>TOP (zielony)</t>
        </is>
      </c>
      <c r="F289" s="9" t="n"/>
      <c r="G289" s="11" t="inlineStr">
        <is>
          <t>+48 889 320 959</t>
        </is>
      </c>
      <c r="H289" s="11" t="n"/>
      <c r="I289" s="11" t="n"/>
      <c r="J289" s="11" t="inlineStr">
        <is>
          <t> · Jana Olbrachta 94a</t>
        </is>
      </c>
      <c r="K289" s="11" t="n"/>
      <c r="L289" s="11" t="inlineStr">
        <is>
          <t>Wlasciciel / Fachowiec</t>
        </is>
      </c>
      <c r="M289" s="12" t="n">
        <v>97</v>
      </c>
      <c r="N289" s="13" t="n">
        <v>4.5</v>
      </c>
      <c r="O289" s="9" t="inlineStr">
        <is>
          <t>Google Maps</t>
        </is>
      </c>
      <c r="P289" s="9" t="inlineStr">
        <is>
          <t>Nowa</t>
        </is>
      </c>
      <c r="Q289" s="10" t="n"/>
      <c r="R289" s="10" t="n"/>
      <c r="S289" s="11" t="inlineStr">
        <is>
          <t>[FACHOWIEC - nie klient] Serwis AGD. Google Maps: 4.5 gw. z 97 opinii.</t>
        </is>
      </c>
      <c r="T289" s="11" t="n"/>
    </row>
    <row r="290" ht="22" customHeight="1">
      <c r="A290" s="9">
        <f>IF(C290="","",ROW()-1)</f>
        <v/>
      </c>
      <c r="B290" s="10" t="n">
        <v>46135</v>
      </c>
      <c r="C290" s="11" t="inlineStr">
        <is>
          <t>Serwis AGD Mokotow</t>
        </is>
      </c>
      <c r="D290" s="9" t="inlineStr">
        <is>
          <t>Firmy budowlane</t>
        </is>
      </c>
      <c r="E290" s="9" t="inlineStr">
        <is>
          <t>Niski (czerwony)</t>
        </is>
      </c>
      <c r="F290" s="9" t="n"/>
      <c r="G290" s="11" t="inlineStr">
        <is>
          <t>+48 780 256 698</t>
        </is>
      </c>
      <c r="H290" s="11" t="n"/>
      <c r="I290" s="11" t="n"/>
      <c r="J290" s="11" t="inlineStr">
        <is>
          <t>Wołoska 56</t>
        </is>
      </c>
      <c r="K290" s="11" t="n"/>
      <c r="L290" s="11" t="inlineStr">
        <is>
          <t>Wlasciciel / Fachowiec</t>
        </is>
      </c>
      <c r="M290" s="12" t="n">
        <v>1</v>
      </c>
      <c r="N290" s="13" t="n">
        <v>5</v>
      </c>
      <c r="O290" s="9" t="inlineStr">
        <is>
          <t>Google Maps</t>
        </is>
      </c>
      <c r="P290" s="9" t="inlineStr">
        <is>
          <t>Nowa</t>
        </is>
      </c>
      <c r="Q290" s="10" t="n"/>
      <c r="R290" s="10" t="n"/>
      <c r="S290" s="11" t="inlineStr">
        <is>
          <t>[FACHOWIEC - nie klient] Serwis AGD. Google Maps: 5 gw. z 1 opinii.</t>
        </is>
      </c>
      <c r="T290" s="11" t="n"/>
    </row>
    <row r="291" ht="22" customHeight="1">
      <c r="A291" s="9">
        <f>IF(C291="","",ROW()-1)</f>
        <v/>
      </c>
      <c r="B291" s="10" t="n">
        <v>46135</v>
      </c>
      <c r="C291" s="11" t="inlineStr">
        <is>
          <t>Naprawa AGD Warszawa</t>
        </is>
      </c>
      <c r="D291" s="9" t="inlineStr">
        <is>
          <t>Firmy budowlane</t>
        </is>
      </c>
      <c r="E291" s="9" t="inlineStr">
        <is>
          <t>Niski (czerwony)</t>
        </is>
      </c>
      <c r="F291" s="9" t="n"/>
      <c r="G291" s="11" t="inlineStr">
        <is>
          <t>+48 780 256 699</t>
        </is>
      </c>
      <c r="H291" s="11" t="n"/>
      <c r="I291" s="11" t="n"/>
      <c r="J291" s="11" t="inlineStr">
        <is>
          <t>Władysława Uminskiego 6</t>
        </is>
      </c>
      <c r="K291" s="11" t="n"/>
      <c r="L291" s="11" t="inlineStr">
        <is>
          <t>Wlasciciel / Fachowiec</t>
        </is>
      </c>
      <c r="M291" s="12" t="n">
        <v>1</v>
      </c>
      <c r="N291" s="13" t="n">
        <v>5</v>
      </c>
      <c r="O291" s="9" t="inlineStr">
        <is>
          <t>Google Maps</t>
        </is>
      </c>
      <c r="P291" s="9" t="inlineStr">
        <is>
          <t>Nowa</t>
        </is>
      </c>
      <c r="Q291" s="10" t="n"/>
      <c r="R291" s="10" t="n"/>
      <c r="S291" s="11" t="inlineStr">
        <is>
          <t>[FACHOWIEC - nie klient] Serwis AGD. Google Maps: 5 gw. z 1 opinii.</t>
        </is>
      </c>
      <c r="T291" s="11" t="n"/>
    </row>
    <row r="292" ht="22" customHeight="1">
      <c r="A292" s="9">
        <f>IF(C292="","",ROW()-1)</f>
        <v/>
      </c>
      <c r="B292" s="10" t="n">
        <v>46135</v>
      </c>
      <c r="C292" s="11" t="inlineStr">
        <is>
          <t>Wawa Glass Usługi Szklarskie</t>
        </is>
      </c>
      <c r="D292" s="9" t="inlineStr">
        <is>
          <t>Firmy budowlane</t>
        </is>
      </c>
      <c r="E292" s="9" t="inlineStr">
        <is>
          <t>TOP (zielony)</t>
        </is>
      </c>
      <c r="F292" s="9" t="n"/>
      <c r="G292" s="11" t="inlineStr">
        <is>
          <t>+48 530 013 530</t>
        </is>
      </c>
      <c r="H292" s="11" t="n"/>
      <c r="I292" s="11" t="n"/>
      <c r="J292" s="11" t="inlineStr">
        <is>
          <t>Grochowska 97</t>
        </is>
      </c>
      <c r="K292" s="11" t="n"/>
      <c r="L292" s="11" t="inlineStr">
        <is>
          <t>Wlasciciel / Fachowiec</t>
        </is>
      </c>
      <c r="M292" s="12" t="n">
        <v>77</v>
      </c>
      <c r="N292" s="13" t="n">
        <v>4.7</v>
      </c>
      <c r="O292" s="9" t="inlineStr">
        <is>
          <t>Google Maps</t>
        </is>
      </c>
      <c r="P292" s="9" t="inlineStr">
        <is>
          <t>Nowa</t>
        </is>
      </c>
      <c r="Q292" s="10" t="n"/>
      <c r="R292" s="10" t="n"/>
      <c r="S292" s="11" t="inlineStr">
        <is>
          <t>[FACHOWIEC - nie klient] Szklarz. Google Maps: 4.7 gw. z 77 opinii.</t>
        </is>
      </c>
      <c r="T292" s="11" t="n"/>
    </row>
    <row r="293" ht="22" customHeight="1">
      <c r="A293" s="9">
        <f>IF(C293="","",ROW()-1)</f>
        <v/>
      </c>
      <c r="B293" s="10" t="n">
        <v>46135</v>
      </c>
      <c r="C293" s="11" t="inlineStr">
        <is>
          <t>Usługi Szklarskie i Oprawa Obrazow Aneta Czerwinska</t>
        </is>
      </c>
      <c r="D293" s="9" t="inlineStr">
        <is>
          <t>Firmy budowlane</t>
        </is>
      </c>
      <c r="E293" s="9" t="inlineStr">
        <is>
          <t>TOP (zielony)</t>
        </is>
      </c>
      <c r="F293" s="9" t="n"/>
      <c r="G293" s="11" t="inlineStr">
        <is>
          <t>+48 885 144 525</t>
        </is>
      </c>
      <c r="H293" s="11" t="n"/>
      <c r="I293" s="11" t="n"/>
      <c r="J293" s="11" t="inlineStr">
        <is>
          <t> · Bitwy Warszawskiej 1920 Roku 14/Lokal 2</t>
        </is>
      </c>
      <c r="K293" s="11" t="n"/>
      <c r="L293" s="11" t="inlineStr">
        <is>
          <t>Wlasciciel / Fachowiec</t>
        </is>
      </c>
      <c r="M293" s="12" t="n">
        <v>79</v>
      </c>
      <c r="N293" s="13" t="n">
        <v>4.9</v>
      </c>
      <c r="O293" s="9" t="inlineStr">
        <is>
          <t>Google Maps</t>
        </is>
      </c>
      <c r="P293" s="9" t="inlineStr">
        <is>
          <t>Nowa</t>
        </is>
      </c>
      <c r="Q293" s="10" t="n"/>
      <c r="R293" s="10" t="n"/>
      <c r="S293" s="11" t="inlineStr">
        <is>
          <t>[FACHOWIEC - nie klient] Szklarz. Google Maps: 4.9 gw. z 79 opinii.</t>
        </is>
      </c>
      <c r="T293" s="11" t="n"/>
    </row>
    <row r="294" ht="22" customHeight="1">
      <c r="A294" s="9">
        <f>IF(C294="","",ROW()-1)</f>
        <v/>
      </c>
      <c r="B294" s="10" t="n">
        <v>46135</v>
      </c>
      <c r="C294" s="11" t="inlineStr">
        <is>
          <t>Pracownia Szkła i Luster - Szklarz Warszawa</t>
        </is>
      </c>
      <c r="D294" s="9" t="inlineStr">
        <is>
          <t>Firmy budowlane</t>
        </is>
      </c>
      <c r="E294" s="9" t="inlineStr">
        <is>
          <t>TOP (zielony)</t>
        </is>
      </c>
      <c r="F294" s="9" t="n"/>
      <c r="G294" s="11" t="inlineStr">
        <is>
          <t>+48 605 241 617</t>
        </is>
      </c>
      <c r="H294" s="11" t="n"/>
      <c r="I294" s="11" t="n"/>
      <c r="J294" s="11" t="inlineStr">
        <is>
          <t>Syreny 14</t>
        </is>
      </c>
      <c r="K294" s="11" t="n"/>
      <c r="L294" s="11" t="inlineStr">
        <is>
          <t>Wlasciciel / Fachowiec</t>
        </is>
      </c>
      <c r="M294" s="12" t="n">
        <v>24</v>
      </c>
      <c r="N294" s="13" t="n">
        <v>4.8</v>
      </c>
      <c r="O294" s="9" t="inlineStr">
        <is>
          <t>Google Maps</t>
        </is>
      </c>
      <c r="P294" s="9" t="inlineStr">
        <is>
          <t>Nowa</t>
        </is>
      </c>
      <c r="Q294" s="10" t="n"/>
      <c r="R294" s="10" t="n"/>
      <c r="S294" s="11" t="inlineStr">
        <is>
          <t>[FACHOWIEC - nie klient] Szklarz. Google Maps: 4.8 gw. z 24 opinii.</t>
        </is>
      </c>
      <c r="T294" s="11" t="n"/>
    </row>
    <row r="295" ht="22" customHeight="1">
      <c r="A295" s="9">
        <f>IF(C295="","",ROW()-1)</f>
        <v/>
      </c>
      <c r="B295" s="10" t="n">
        <v>46135</v>
      </c>
      <c r="C295" s="11" t="inlineStr">
        <is>
          <t>Szklarz Warszawa i okolice</t>
        </is>
      </c>
      <c r="D295" s="9" t="inlineStr">
        <is>
          <t>Firmy budowlane</t>
        </is>
      </c>
      <c r="E295" s="9" t="inlineStr">
        <is>
          <t>Niski (czerwony)</t>
        </is>
      </c>
      <c r="F295" s="9" t="n"/>
      <c r="G295" s="11" t="inlineStr">
        <is>
          <t>+48 793 666 844</t>
        </is>
      </c>
      <c r="H295" s="11" t="n"/>
      <c r="I295" s="11" t="n"/>
      <c r="J295" s="11" t="inlineStr">
        <is>
          <t>Bartycka 116</t>
        </is>
      </c>
      <c r="K295" s="11" t="n"/>
      <c r="L295" s="11" t="inlineStr">
        <is>
          <t>Wlasciciel / Fachowiec</t>
        </is>
      </c>
      <c r="M295" s="12" t="n">
        <v>3</v>
      </c>
      <c r="N295" s="13" t="n">
        <v>5</v>
      </c>
      <c r="O295" s="9" t="inlineStr">
        <is>
          <t>Google Maps</t>
        </is>
      </c>
      <c r="P295" s="9" t="inlineStr">
        <is>
          <t>Nowa</t>
        </is>
      </c>
      <c r="Q295" s="10" t="n"/>
      <c r="R295" s="10" t="n"/>
      <c r="S295" s="11" t="inlineStr">
        <is>
          <t>[FACHOWIEC - nie klient] Szklarz. Google Maps: 5 gw. z 3 opinii.</t>
        </is>
      </c>
      <c r="T295" s="11" t="n"/>
    </row>
    <row r="296" ht="22" customHeight="1">
      <c r="A296" s="9">
        <f>IF(C296="","",ROW()-1)</f>
        <v/>
      </c>
      <c r="B296" s="10" t="n">
        <v>46135</v>
      </c>
      <c r="C296" s="11" t="inlineStr">
        <is>
          <t>Usługi szklarskie Warszawa</t>
        </is>
      </c>
      <c r="D296" s="9" t="inlineStr">
        <is>
          <t>Firmy budowlane</t>
        </is>
      </c>
      <c r="E296" s="9" t="inlineStr">
        <is>
          <t>Sredni (zolty)</t>
        </is>
      </c>
      <c r="F296" s="9" t="n"/>
      <c r="G296" s="11" t="inlineStr">
        <is>
          <t>+48 730 646 992</t>
        </is>
      </c>
      <c r="H296" s="11" t="n"/>
      <c r="I296" s="11" t="n"/>
      <c r="J296" s="11" t="inlineStr">
        <is>
          <t>Pułkowa 33</t>
        </is>
      </c>
      <c r="K296" s="11" t="n"/>
      <c r="L296" s="11" t="inlineStr">
        <is>
          <t>Wlasciciel / Fachowiec</t>
        </is>
      </c>
      <c r="M296" s="12" t="n">
        <v>7</v>
      </c>
      <c r="N296" s="13" t="n">
        <v>5</v>
      </c>
      <c r="O296" s="9" t="inlineStr">
        <is>
          <t>Google Maps</t>
        </is>
      </c>
      <c r="P296" s="9" t="inlineStr">
        <is>
          <t>Nowa</t>
        </is>
      </c>
      <c r="Q296" s="10" t="n"/>
      <c r="R296" s="10" t="n"/>
      <c r="S296" s="11" t="inlineStr">
        <is>
          <t>[FACHOWIEC - nie klient] Szklarz. Google Maps: 5 gw. z 7 opinii.</t>
        </is>
      </c>
      <c r="T296" s="11" t="n"/>
    </row>
    <row r="297" ht="22" customHeight="1">
      <c r="A297" s="9">
        <f>IF(C297="","",ROW()-1)</f>
        <v/>
      </c>
      <c r="B297" s="10" t="n">
        <v>46135</v>
      </c>
      <c r="C297" s="11" t="inlineStr">
        <is>
          <t>Usługowy Zakład Szklarski Profglass</t>
        </is>
      </c>
      <c r="D297" s="9" t="inlineStr">
        <is>
          <t>Firmy budowlane</t>
        </is>
      </c>
      <c r="E297" s="9" t="inlineStr">
        <is>
          <t>TOP (zielony)</t>
        </is>
      </c>
      <c r="F297" s="9" t="n"/>
      <c r="G297" s="11" t="inlineStr">
        <is>
          <t>+48 500 087 205</t>
        </is>
      </c>
      <c r="H297" s="11" t="n"/>
      <c r="I297" s="11" t="n"/>
      <c r="J297" s="11" t="inlineStr">
        <is>
          <t>Surowieckiego 12B lok. uz 4</t>
        </is>
      </c>
      <c r="K297" s="11" t="n"/>
      <c r="L297" s="11" t="inlineStr">
        <is>
          <t>Wlasciciel / Fachowiec</t>
        </is>
      </c>
      <c r="M297" s="12" t="n">
        <v>160</v>
      </c>
      <c r="N297" s="13" t="n">
        <v>4.8</v>
      </c>
      <c r="O297" s="9" t="inlineStr">
        <is>
          <t>Google Maps</t>
        </is>
      </c>
      <c r="P297" s="9" t="inlineStr">
        <is>
          <t>Nowa</t>
        </is>
      </c>
      <c r="Q297" s="10" t="n"/>
      <c r="R297" s="10" t="n"/>
      <c r="S297" s="11" t="inlineStr">
        <is>
          <t>[FACHOWIEC - nie klient] Szklarz. Google Maps: 4.8 gw. z 160 opinii.</t>
        </is>
      </c>
      <c r="T297" s="11" t="n"/>
    </row>
    <row r="298" ht="22" customHeight="1">
      <c r="A298" s="9">
        <f>IF(C298="","",ROW()-1)</f>
        <v/>
      </c>
      <c r="B298" s="10" t="n">
        <v>46135</v>
      </c>
      <c r="C298" s="11" t="inlineStr">
        <is>
          <t>HubSzkło Usługi Szklarskie</t>
        </is>
      </c>
      <c r="D298" s="9" t="inlineStr">
        <is>
          <t>Firmy budowlane</t>
        </is>
      </c>
      <c r="E298" s="9" t="inlineStr">
        <is>
          <t>TOP (zielony)</t>
        </is>
      </c>
      <c r="F298" s="9" t="n"/>
      <c r="G298" s="11" t="inlineStr">
        <is>
          <t>+48 22 811 36 49</t>
        </is>
      </c>
      <c r="H298" s="11" t="n"/>
      <c r="I298" s="11" t="n"/>
      <c r="J298" s="11" t="inlineStr">
        <is>
          <t>Łojewska 3</t>
        </is>
      </c>
      <c r="K298" s="11" t="n"/>
      <c r="L298" s="11" t="inlineStr">
        <is>
          <t>Wlasciciel / Fachowiec</t>
        </is>
      </c>
      <c r="M298" s="12" t="n">
        <v>117</v>
      </c>
      <c r="N298" s="13" t="n">
        <v>4.8</v>
      </c>
      <c r="O298" s="9" t="inlineStr">
        <is>
          <t>Google Maps</t>
        </is>
      </c>
      <c r="P298" s="9" t="inlineStr">
        <is>
          <t>Nowa</t>
        </is>
      </c>
      <c r="Q298" s="10" t="n"/>
      <c r="R298" s="10" t="n"/>
      <c r="S298" s="11" t="inlineStr">
        <is>
          <t>[FACHOWIEC - nie klient] Szklarz. Google Maps: 4.8 gw. z 117 opinii.</t>
        </is>
      </c>
      <c r="T298" s="11" t="n"/>
    </row>
    <row r="299" ht="22" customHeight="1">
      <c r="A299" s="9">
        <f>IF(C299="","",ROW()-1)</f>
        <v/>
      </c>
      <c r="B299" s="10" t="n">
        <v>46135</v>
      </c>
      <c r="C299" s="11" t="inlineStr">
        <is>
          <t>Pogotowie Hydrauliczne 24H | Udraznianie rur i kanalizacji | Usługi WUKO | Warszawa</t>
        </is>
      </c>
      <c r="D299" s="9" t="inlineStr">
        <is>
          <t>Firmy budowlane</t>
        </is>
      </c>
      <c r="E299" s="9" t="inlineStr">
        <is>
          <t>TOP (zielony)</t>
        </is>
      </c>
      <c r="F299" s="9" t="n"/>
      <c r="G299" s="11" t="inlineStr">
        <is>
          <t>+48 539 995 583</t>
        </is>
      </c>
      <c r="H299" s="11" t="n"/>
      <c r="I299" s="11" t="n"/>
      <c r="J299" s="11" t="inlineStr">
        <is>
          <t>Al. Jerozolimskie 89/43</t>
        </is>
      </c>
      <c r="K299" s="11" t="n"/>
      <c r="L299" s="11" t="inlineStr">
        <is>
          <t>Wlasciciel / Fachowiec</t>
        </is>
      </c>
      <c r="M299" s="12" t="n">
        <v>29</v>
      </c>
      <c r="N299" s="13" t="n">
        <v>4.9</v>
      </c>
      <c r="O299" s="9" t="inlineStr">
        <is>
          <t>Google Maps</t>
        </is>
      </c>
      <c r="P299" s="9" t="inlineStr">
        <is>
          <t>Nowa</t>
        </is>
      </c>
      <c r="Q299" s="10" t="n"/>
      <c r="R299" s="10" t="n"/>
      <c r="S299" s="11" t="inlineStr">
        <is>
          <t>[FACHOWIEC - nie klient] Hydraulik 24h. Google Maps: 4.9 gw. z 29 opinii.</t>
        </is>
      </c>
      <c r="T299" s="11" t="n"/>
    </row>
    <row r="300" ht="22" customHeight="1">
      <c r="A300" s="9">
        <f>IF(C300="","",ROW()-1)</f>
        <v/>
      </c>
      <c r="B300" s="10" t="n">
        <v>46135</v>
      </c>
      <c r="C300" s="11" t="inlineStr">
        <is>
          <t>Przepychanierurwarszawa.pl | udraznianie rur wuko</t>
        </is>
      </c>
      <c r="D300" s="9" t="inlineStr">
        <is>
          <t>Firmy budowlane</t>
        </is>
      </c>
      <c r="E300" s="9" t="inlineStr">
        <is>
          <t>TOP (zielony)</t>
        </is>
      </c>
      <c r="F300" s="9" t="n"/>
      <c r="G300" s="11" t="inlineStr">
        <is>
          <t>+48 507 320 204</t>
        </is>
      </c>
      <c r="H300" s="11" t="n"/>
      <c r="I300" s="11" t="n"/>
      <c r="J300" s="11" t="n"/>
      <c r="K300" s="11" t="n"/>
      <c r="L300" s="11" t="inlineStr">
        <is>
          <t>Wlasciciel / Fachowiec</t>
        </is>
      </c>
      <c r="M300" s="12" t="n">
        <v>134</v>
      </c>
      <c r="N300" s="13" t="n">
        <v>5</v>
      </c>
      <c r="O300" s="9" t="inlineStr">
        <is>
          <t>Google Maps</t>
        </is>
      </c>
      <c r="P300" s="9" t="inlineStr">
        <is>
          <t>Nowa</t>
        </is>
      </c>
      <c r="Q300" s="10" t="n"/>
      <c r="R300" s="10" t="n"/>
      <c r="S300" s="11" t="inlineStr">
        <is>
          <t>[FACHOWIEC - nie klient] Hydraulik 24h. Google Maps: 5 gw. z 134 opinii.</t>
        </is>
      </c>
      <c r="T300" s="11" t="n"/>
    </row>
    <row r="301" ht="22" customHeight="1">
      <c r="A301" s="9">
        <f>IF(C301="","",ROW()-1)</f>
        <v/>
      </c>
      <c r="B301" s="10" t="n">
        <v>46135</v>
      </c>
      <c r="C301" s="11" t="inlineStr">
        <is>
          <t>lians OZE - Fotowoltaika, sprzedaz energii i gazu, pompy ciepła i magazyny energii. Czyste powietrze, Warszawa</t>
        </is>
      </c>
      <c r="D301" s="9" t="inlineStr">
        <is>
          <t>Firmy budowlane</t>
        </is>
      </c>
      <c r="E301" s="9" t="inlineStr">
        <is>
          <t>TOP (zielony)</t>
        </is>
      </c>
      <c r="F301" s="9" t="inlineStr">
        <is>
          <t>Mokotow</t>
        </is>
      </c>
      <c r="G301" s="11" t="inlineStr">
        <is>
          <t>+48 22 357 45 00</t>
        </is>
      </c>
      <c r="H301" s="11" t="n"/>
      <c r="I301" s="11" t="n"/>
      <c r="J301" s="11" t="inlineStr">
        <is>
          <t> · Cybernetyki 19b</t>
        </is>
      </c>
      <c r="K301" s="11" t="n"/>
      <c r="L301" s="11" t="inlineStr">
        <is>
          <t>Wlasciciel / Fachowiec</t>
        </is>
      </c>
      <c r="M301" s="12" t="n">
        <v>183</v>
      </c>
      <c r="N301" s="13" t="n">
        <v>4.6</v>
      </c>
      <c r="O301" s="9" t="inlineStr">
        <is>
          <t>Google Maps</t>
        </is>
      </c>
      <c r="P301" s="9" t="inlineStr">
        <is>
          <t>Nowa</t>
        </is>
      </c>
      <c r="Q301" s="10" t="n"/>
      <c r="R301" s="10" t="n"/>
      <c r="S301" s="11" t="inlineStr">
        <is>
          <t>[FACHOWIEC - nie klient] Fotowoltaika. Google Maps: 4.6 gw. z 183 opinii.</t>
        </is>
      </c>
      <c r="T301" s="11" t="n"/>
    </row>
    <row r="302">
      <c r="B302" s="34" t="n">
        <v>46135</v>
      </c>
      <c r="C302" t="inlineStr">
        <is>
          <t>Erato Energy S.A.</t>
        </is>
      </c>
      <c r="D302" t="inlineStr">
        <is>
          <t>Firmy budowlane</t>
        </is>
      </c>
      <c r="E302" t="inlineStr">
        <is>
          <t>TOP (zielony)</t>
        </is>
      </c>
      <c r="F302" t="inlineStr">
        <is>
          <t>Mokotow</t>
        </is>
      </c>
      <c r="G302" t="inlineStr">
        <is>
          <t>+48 793 202 491</t>
        </is>
      </c>
      <c r="J302" t="inlineStr">
        <is>
          <t>Domaniewska 45</t>
        </is>
      </c>
      <c r="L302" t="inlineStr">
        <is>
          <t>Wlasciciel / Fachowiec</t>
        </is>
      </c>
      <c r="M302" t="n">
        <v>438</v>
      </c>
      <c r="N302" t="n">
        <v>4.5</v>
      </c>
      <c r="O302" t="inlineStr">
        <is>
          <t>Google Maps</t>
        </is>
      </c>
      <c r="P302" t="inlineStr">
        <is>
          <t>Nowa</t>
        </is>
      </c>
      <c r="S302" t="inlineStr">
        <is>
          <t>[FACHOWIEC - nie klient] Fotowoltaika. Google Maps: 4.5 gw. z 438 opinii.</t>
        </is>
      </c>
    </row>
    <row r="303">
      <c r="B303" s="34" t="n">
        <v>46135</v>
      </c>
      <c r="C303" t="inlineStr">
        <is>
          <t>EcoSolar</t>
        </is>
      </c>
      <c r="D303" t="inlineStr">
        <is>
          <t>Firmy budowlane</t>
        </is>
      </c>
      <c r="E303" t="inlineStr">
        <is>
          <t>TOP (zielony)</t>
        </is>
      </c>
      <c r="F303" t="inlineStr">
        <is>
          <t>Mokotow</t>
        </is>
      </c>
      <c r="G303" t="inlineStr">
        <is>
          <t>+48 22 844 91 88</t>
        </is>
      </c>
      <c r="J303" t="inlineStr">
        <is>
          <t>Mahatmy Gandhiego 19 33</t>
        </is>
      </c>
      <c r="L303" t="inlineStr">
        <is>
          <t>Wlasciciel / Fachowiec</t>
        </is>
      </c>
      <c r="M303" t="n">
        <v>25</v>
      </c>
      <c r="N303" t="n">
        <v>4.8</v>
      </c>
      <c r="O303" t="inlineStr">
        <is>
          <t>Google Maps</t>
        </is>
      </c>
      <c r="P303" t="inlineStr">
        <is>
          <t>Nowa</t>
        </is>
      </c>
      <c r="S303" t="inlineStr">
        <is>
          <t>[FACHOWIEC - nie klient] Fotowoltaika. Google Maps: 4.8 gw. z 25 opinii.</t>
        </is>
      </c>
    </row>
    <row r="304">
      <c r="B304" s="34" t="n">
        <v>46135</v>
      </c>
      <c r="C304" t="inlineStr">
        <is>
          <t>Solarmax Sp. z o.o.</t>
        </is>
      </c>
      <c r="D304" t="inlineStr">
        <is>
          <t>Firmy budowlane</t>
        </is>
      </c>
      <c r="E304" t="inlineStr">
        <is>
          <t>TOP (zielony)</t>
        </is>
      </c>
      <c r="F304" t="inlineStr">
        <is>
          <t>Mokotow</t>
        </is>
      </c>
      <c r="G304" t="inlineStr">
        <is>
          <t>+48 600 504 201</t>
        </is>
      </c>
      <c r="J304" t="inlineStr">
        <is>
          <t> · Swieradowska 47</t>
        </is>
      </c>
      <c r="L304" t="inlineStr">
        <is>
          <t>Wlasciciel / Fachowiec</t>
        </is>
      </c>
      <c r="M304" t="n">
        <v>21</v>
      </c>
      <c r="N304" t="n">
        <v>5</v>
      </c>
      <c r="O304" t="inlineStr">
        <is>
          <t>Google Maps</t>
        </is>
      </c>
      <c r="P304" t="inlineStr">
        <is>
          <t>Nowa</t>
        </is>
      </c>
      <c r="S304" t="inlineStr">
        <is>
          <t>[FACHOWIEC - nie klient] Fotowoltaika. Google Maps: 5 gw. z 21 opinii.</t>
        </is>
      </c>
    </row>
    <row r="305">
      <c r="B305" s="34" t="n">
        <v>46135</v>
      </c>
      <c r="C305" t="inlineStr">
        <is>
          <t>Heat Energy - Twoje własne ciepło</t>
        </is>
      </c>
      <c r="D305" t="inlineStr">
        <is>
          <t>Firmy budowlane</t>
        </is>
      </c>
      <c r="E305" t="inlineStr">
        <is>
          <t>TOP (zielony)</t>
        </is>
      </c>
      <c r="F305" t="inlineStr">
        <is>
          <t>Mokotow</t>
        </is>
      </c>
      <c r="G305" t="inlineStr">
        <is>
          <t>+48 692 972 803</t>
        </is>
      </c>
      <c r="J305" t="inlineStr">
        <is>
          <t>Niedzwiedzia 29b</t>
        </is>
      </c>
      <c r="L305" t="inlineStr">
        <is>
          <t>Wlasciciel / Fachowiec</t>
        </is>
      </c>
      <c r="M305" t="n">
        <v>176</v>
      </c>
      <c r="N305" t="n">
        <v>4.9</v>
      </c>
      <c r="O305" t="inlineStr">
        <is>
          <t>Google Maps</t>
        </is>
      </c>
      <c r="P305" t="inlineStr">
        <is>
          <t>Nowa</t>
        </is>
      </c>
      <c r="S305" t="inlineStr">
        <is>
          <t>[FACHOWIEC - nie klient] Fotowoltaika. Google Maps: 4.9 gw. z 176 opinii.</t>
        </is>
      </c>
    </row>
    <row r="306">
      <c r="B306" s="34" t="n">
        <v>46135</v>
      </c>
      <c r="C306" t="inlineStr">
        <is>
          <t>Klimatyzacja Sikorscy</t>
        </is>
      </c>
      <c r="D306" t="inlineStr">
        <is>
          <t>Firmy budowlane</t>
        </is>
      </c>
      <c r="E306" t="inlineStr">
        <is>
          <t>TOP (zielony)</t>
        </is>
      </c>
      <c r="F306" t="inlineStr">
        <is>
          <t>Mokotow</t>
        </is>
      </c>
      <c r="G306" t="inlineStr">
        <is>
          <t>+48 575 420 570</t>
        </is>
      </c>
      <c r="J306" t="inlineStr">
        <is>
          <t>Etiudy Rewolucyjnej 44</t>
        </is>
      </c>
      <c r="L306" t="inlineStr">
        <is>
          <t>Wlasciciel / Fachowiec</t>
        </is>
      </c>
      <c r="M306" t="n">
        <v>44</v>
      </c>
      <c r="N306" t="n">
        <v>5</v>
      </c>
      <c r="O306" t="inlineStr">
        <is>
          <t>Google Maps</t>
        </is>
      </c>
      <c r="P306" t="inlineStr">
        <is>
          <t>Nowa</t>
        </is>
      </c>
      <c r="S306" t="inlineStr">
        <is>
          <t>[FACHOWIEC - nie klient] Klimatyzacja / wentylacja. Google Maps: 5 gw. z 44 opinii.</t>
        </is>
      </c>
    </row>
    <row r="307">
      <c r="B307" s="34" t="n">
        <v>46135</v>
      </c>
      <c r="C307" t="inlineStr">
        <is>
          <t>Klimakoncept - montaz i serwis klimatyzacji Warszawa - klimatyzacja do domu i mieszkania</t>
        </is>
      </c>
      <c r="D307" t="inlineStr">
        <is>
          <t>Firmy budowlane</t>
        </is>
      </c>
      <c r="E307" t="inlineStr">
        <is>
          <t>TOP (zielony)</t>
        </is>
      </c>
      <c r="F307" t="inlineStr">
        <is>
          <t>Mokotow</t>
        </is>
      </c>
      <c r="G307" t="inlineStr">
        <is>
          <t>+48 453 408 908</t>
        </is>
      </c>
      <c r="J307" t="inlineStr">
        <is>
          <t>Jozefa Piusa Dziekonskiego 1</t>
        </is>
      </c>
      <c r="L307" t="inlineStr">
        <is>
          <t>Wlasciciel / Fachowiec</t>
        </is>
      </c>
      <c r="M307" t="n">
        <v>63</v>
      </c>
      <c r="N307" t="n">
        <v>5</v>
      </c>
      <c r="O307" t="inlineStr">
        <is>
          <t>Google Maps</t>
        </is>
      </c>
      <c r="P307" t="inlineStr">
        <is>
          <t>Nowa</t>
        </is>
      </c>
      <c r="S307" t="inlineStr">
        <is>
          <t>[FACHOWIEC - nie klient] Klimatyzacja / wentylacja. Google Maps: 5 gw. z 63 opinii.</t>
        </is>
      </c>
    </row>
    <row r="308">
      <c r="B308" s="34" t="n">
        <v>46135</v>
      </c>
      <c r="C308" t="inlineStr">
        <is>
          <t>Klima Kontrol - Montaz, serwis klimatyzacji Warszawa</t>
        </is>
      </c>
      <c r="D308" t="inlineStr">
        <is>
          <t>Firmy budowlane</t>
        </is>
      </c>
      <c r="E308" t="inlineStr">
        <is>
          <t>Sredni (zolty)</t>
        </is>
      </c>
      <c r="F308" t="inlineStr">
        <is>
          <t>Mokotow</t>
        </is>
      </c>
      <c r="G308" t="inlineStr">
        <is>
          <t>+48 530 010 600</t>
        </is>
      </c>
      <c r="J308" t="inlineStr">
        <is>
          <t>Konstruktorska 5C</t>
        </is>
      </c>
      <c r="L308" t="inlineStr">
        <is>
          <t>Wlasciciel / Fachowiec</t>
        </is>
      </c>
      <c r="M308" t="n">
        <v>14</v>
      </c>
      <c r="N308" t="n">
        <v>5</v>
      </c>
      <c r="O308" t="inlineStr">
        <is>
          <t>Google Maps</t>
        </is>
      </c>
      <c r="P308" t="inlineStr">
        <is>
          <t>Nowa</t>
        </is>
      </c>
      <c r="S308" t="inlineStr">
        <is>
          <t>[FACHOWIEC - nie klient] Klimatyzacja / wentylacja. Google Maps: 5 gw. z 14 opinii.</t>
        </is>
      </c>
    </row>
    <row r="309">
      <c r="B309" s="34" t="n">
        <v>46135</v>
      </c>
      <c r="C309" t="inlineStr">
        <is>
          <t>COLDWARM Klimatyzacja Warszawa | Montaz Klimatyzacji i Serwis</t>
        </is>
      </c>
      <c r="D309" t="inlineStr">
        <is>
          <t>Firmy budowlane</t>
        </is>
      </c>
      <c r="E309" t="inlineStr">
        <is>
          <t>TOP (zielony)</t>
        </is>
      </c>
      <c r="F309" t="inlineStr">
        <is>
          <t>Mokotow</t>
        </is>
      </c>
      <c r="G309" t="inlineStr">
        <is>
          <t>+48 608 100 858</t>
        </is>
      </c>
      <c r="J309" t="inlineStr">
        <is>
          <t>Jana Pawła Woronicza 76/90</t>
        </is>
      </c>
      <c r="L309" t="inlineStr">
        <is>
          <t>Wlasciciel / Fachowiec</t>
        </is>
      </c>
      <c r="M309" t="n">
        <v>48</v>
      </c>
      <c r="N309" t="n">
        <v>5</v>
      </c>
      <c r="O309" t="inlineStr">
        <is>
          <t>Google Maps</t>
        </is>
      </c>
      <c r="P309" t="inlineStr">
        <is>
          <t>Nowa</t>
        </is>
      </c>
      <c r="S309" t="inlineStr">
        <is>
          <t>[FACHOWIEC - nie klient] Klimatyzacja / wentylacja. Google Maps: 5 gw. z 48 opinii.</t>
        </is>
      </c>
    </row>
    <row r="310">
      <c r="B310" s="34" t="n">
        <v>46135</v>
      </c>
      <c r="C310" t="inlineStr">
        <is>
          <t>GooDoor&amp;More - Klimatyzacja z montazem, Drzwi, Okna, Warszawa i okolice</t>
        </is>
      </c>
      <c r="D310" t="inlineStr">
        <is>
          <t>Firmy budowlane</t>
        </is>
      </c>
      <c r="E310" t="inlineStr">
        <is>
          <t>TOP (zielony)</t>
        </is>
      </c>
      <c r="F310" t="inlineStr">
        <is>
          <t>Mokotow</t>
        </is>
      </c>
      <c r="G310" t="inlineStr">
        <is>
          <t>+48 573 821 328</t>
        </is>
      </c>
      <c r="J310" t="inlineStr">
        <is>
          <t>Bartłomieja 12</t>
        </is>
      </c>
      <c r="L310" t="inlineStr">
        <is>
          <t>Wlasciciel / Fachowiec</t>
        </is>
      </c>
      <c r="M310" t="n">
        <v>51</v>
      </c>
      <c r="N310" t="n">
        <v>4.8</v>
      </c>
      <c r="O310" t="inlineStr">
        <is>
          <t>Google Maps</t>
        </is>
      </c>
      <c r="P310" t="inlineStr">
        <is>
          <t>Nowa</t>
        </is>
      </c>
      <c r="S310" t="inlineStr">
        <is>
          <t>[FACHOWIEC - nie klient] Klimatyzacja / wentylacja. Google Maps: 4.8 gw. z 51 opinii.</t>
        </is>
      </c>
    </row>
    <row r="311">
      <c r="B311" s="34" t="n">
        <v>46135</v>
      </c>
      <c r="C311" t="inlineStr">
        <is>
          <t>Montaz Wentylacji Warszawa Instalacje Klimatyzacji Rekuperacji Pomp Ciepła Klimatyka.com</t>
        </is>
      </c>
      <c r="D311" t="inlineStr">
        <is>
          <t>Firmy budowlane</t>
        </is>
      </c>
      <c r="E311" t="inlineStr">
        <is>
          <t>Sredni (zolty)</t>
        </is>
      </c>
      <c r="F311" t="inlineStr">
        <is>
          <t>Mokotow</t>
        </is>
      </c>
      <c r="G311" t="inlineStr">
        <is>
          <t>+48 692 842 355</t>
        </is>
      </c>
      <c r="J311" t="inlineStr">
        <is>
          <t>Jana Pawła Woronicza 47</t>
        </is>
      </c>
      <c r="L311" t="inlineStr">
        <is>
          <t>Wlasciciel / Fachowiec</t>
        </is>
      </c>
      <c r="M311" t="n">
        <v>13</v>
      </c>
      <c r="N311" t="n">
        <v>4.4</v>
      </c>
      <c r="O311" t="inlineStr">
        <is>
          <t>Google Maps</t>
        </is>
      </c>
      <c r="P311" t="inlineStr">
        <is>
          <t>Nowa</t>
        </is>
      </c>
      <c r="S311" t="inlineStr">
        <is>
          <t>[FACHOWIEC - nie klient] Klimatyzacja / wentylacja. Google Maps: 4.4 gw. z 13 opinii.</t>
        </is>
      </c>
    </row>
    <row r="312">
      <c r="B312" s="34" t="n">
        <v>46135</v>
      </c>
      <c r="C312" t="inlineStr">
        <is>
          <t>Czy100pl Firma Sprzatajaca Sprzatanie mieszkan, biur i po remoncie Warszawa</t>
        </is>
      </c>
      <c r="D312" t="inlineStr">
        <is>
          <t>Firmy budowlane</t>
        </is>
      </c>
      <c r="E312" t="inlineStr">
        <is>
          <t>TOP (zielony)</t>
        </is>
      </c>
      <c r="G312" t="inlineStr">
        <is>
          <t>+48 503 977 114</t>
        </is>
      </c>
      <c r="J312" t="inlineStr">
        <is>
          <t>Szwedzka 6/6</t>
        </is>
      </c>
      <c r="L312" t="inlineStr">
        <is>
          <t>Wlasciciel / Fachowiec</t>
        </is>
      </c>
      <c r="M312" t="n">
        <v>57</v>
      </c>
      <c r="N312" t="n">
        <v>5</v>
      </c>
      <c r="O312" t="inlineStr">
        <is>
          <t>Google Maps</t>
        </is>
      </c>
      <c r="P312" t="inlineStr">
        <is>
          <t>Nowa</t>
        </is>
      </c>
      <c r="S312" t="inlineStr">
        <is>
          <t>[FACHOWIEC - nie klient] Sprzatanie po remoncie. Google Maps: 5 gw. z 57 opinii.</t>
        </is>
      </c>
    </row>
    <row r="313">
      <c r="B313" s="34" t="n">
        <v>46135</v>
      </c>
      <c r="C313" t="inlineStr">
        <is>
          <t>EFA | pranie wykładzin, dywanow i kanap, czyszczenie tapicerki meblowej oraz sprzatanie po remoncie | Warszawa</t>
        </is>
      </c>
      <c r="D313" t="inlineStr">
        <is>
          <t>Firmy budowlane</t>
        </is>
      </c>
      <c r="E313" t="inlineStr">
        <is>
          <t>TOP (zielony)</t>
        </is>
      </c>
      <c r="G313" t="inlineStr">
        <is>
          <t>+48 781 428 246</t>
        </is>
      </c>
      <c r="J313" t="inlineStr">
        <is>
          <t>Korsykanska 5/85</t>
        </is>
      </c>
      <c r="L313" t="inlineStr">
        <is>
          <t>Wlasciciel / Fachowiec</t>
        </is>
      </c>
      <c r="M313" t="n">
        <v>49</v>
      </c>
      <c r="N313" t="n">
        <v>5</v>
      </c>
      <c r="O313" t="inlineStr">
        <is>
          <t>Google Maps</t>
        </is>
      </c>
      <c r="P313" t="inlineStr">
        <is>
          <t>Nowa</t>
        </is>
      </c>
      <c r="S313" t="inlineStr">
        <is>
          <t>[FACHOWIEC - nie klient] Sprzatanie po remoncie. Google Maps: 5 gw. z 49 opinii.</t>
        </is>
      </c>
    </row>
    <row r="314">
      <c r="B314" s="34" t="n">
        <v>46135</v>
      </c>
      <c r="C314" t="inlineStr">
        <is>
          <t>Miotła Czarownicy - sprzatanie mieszkan, biur i po remoncie Warszawa</t>
        </is>
      </c>
      <c r="D314" t="inlineStr">
        <is>
          <t>Firmy budowlane</t>
        </is>
      </c>
      <c r="E314" t="inlineStr">
        <is>
          <t>TOP (zielony)</t>
        </is>
      </c>
      <c r="G314" t="inlineStr">
        <is>
          <t>+48 515 020 332</t>
        </is>
      </c>
      <c r="J314" t="inlineStr">
        <is>
          <t>Zurawia 16A/43</t>
        </is>
      </c>
      <c r="L314" t="inlineStr">
        <is>
          <t>Wlasciciel / Fachowiec</t>
        </is>
      </c>
      <c r="M314" t="n">
        <v>65</v>
      </c>
      <c r="N314" t="n">
        <v>4.8</v>
      </c>
      <c r="O314" t="inlineStr">
        <is>
          <t>Google Maps</t>
        </is>
      </c>
      <c r="P314" t="inlineStr">
        <is>
          <t>Nowa</t>
        </is>
      </c>
      <c r="S314" t="inlineStr">
        <is>
          <t>[FACHOWIEC - nie klient] Sprzatanie po remoncie. Google Maps: 4.8 gw. z 65 opinii.</t>
        </is>
      </c>
    </row>
    <row r="315">
      <c r="B315" s="34" t="n">
        <v>46135</v>
      </c>
      <c r="C315" t="inlineStr">
        <is>
          <t>TIP TOP Service</t>
        </is>
      </c>
      <c r="D315" t="inlineStr">
        <is>
          <t>Firmy budowlane</t>
        </is>
      </c>
      <c r="E315" t="inlineStr">
        <is>
          <t>TOP (zielony)</t>
        </is>
      </c>
      <c r="G315" t="inlineStr">
        <is>
          <t>+48 602 828 838</t>
        </is>
      </c>
      <c r="J315" t="inlineStr">
        <is>
          <t>Otwarcie: 08:00 · +48 602 828 838</t>
        </is>
      </c>
      <c r="L315" t="inlineStr">
        <is>
          <t>Wlasciciel / Fachowiec</t>
        </is>
      </c>
      <c r="M315" t="n">
        <v>39</v>
      </c>
      <c r="N315" t="n">
        <v>4.8</v>
      </c>
      <c r="O315" t="inlineStr">
        <is>
          <t>Google Maps</t>
        </is>
      </c>
      <c r="P315" t="inlineStr">
        <is>
          <t>Nowa</t>
        </is>
      </c>
      <c r="S315" t="inlineStr">
        <is>
          <t>[FACHOWIEC - nie klient] Sprzatanie po remoncie. Google Maps: 4.8 gw. z 39 opinii.</t>
        </is>
      </c>
    </row>
    <row r="316">
      <c r="B316" s="34" t="n">
        <v>46135</v>
      </c>
      <c r="C316" t="inlineStr">
        <is>
          <t>Sprzatanie w Warszawie 24</t>
        </is>
      </c>
      <c r="D316" t="inlineStr">
        <is>
          <t>Firmy budowlane</t>
        </is>
      </c>
      <c r="E316" t="inlineStr">
        <is>
          <t>TOP (zielony)</t>
        </is>
      </c>
      <c r="G316" t="inlineStr">
        <is>
          <t>+48 794 060 030</t>
        </is>
      </c>
      <c r="J316" t="inlineStr">
        <is>
          <t>Perzynskiego 13/m 75</t>
        </is>
      </c>
      <c r="L316" t="inlineStr">
        <is>
          <t>Wlasciciel / Fachowiec</t>
        </is>
      </c>
      <c r="M316" t="n">
        <v>29</v>
      </c>
      <c r="N316" t="n">
        <v>4.8</v>
      </c>
      <c r="O316" t="inlineStr">
        <is>
          <t>Google Maps</t>
        </is>
      </c>
      <c r="P316" t="inlineStr">
        <is>
          <t>Nowa</t>
        </is>
      </c>
      <c r="S316" t="inlineStr">
        <is>
          <t>[FACHOWIEC - nie klient] Sprzatanie po remoncie. Google Maps: 4.8 gw. z 29 opinii.</t>
        </is>
      </c>
    </row>
    <row r="317">
      <c r="B317" s="34" t="n">
        <v>46135</v>
      </c>
      <c r="C317" t="inlineStr">
        <is>
          <t>CleanMess - sprzatanie po wynajmie, remoncie i biurach Warszawa i okolice</t>
        </is>
      </c>
      <c r="D317" t="inlineStr">
        <is>
          <t>Firmy budowlane</t>
        </is>
      </c>
      <c r="E317" t="inlineStr">
        <is>
          <t>TOP (zielony)</t>
        </is>
      </c>
      <c r="G317" t="inlineStr">
        <is>
          <t>+48 533 012 602</t>
        </is>
      </c>
      <c r="J317" t="inlineStr">
        <is>
          <t>Klinkierowa 3/81</t>
        </is>
      </c>
      <c r="L317" t="inlineStr">
        <is>
          <t>Wlasciciel / Fachowiec</t>
        </is>
      </c>
      <c r="M317" t="n">
        <v>29</v>
      </c>
      <c r="N317" t="n">
        <v>5</v>
      </c>
      <c r="O317" t="inlineStr">
        <is>
          <t>Google Maps</t>
        </is>
      </c>
      <c r="P317" t="inlineStr">
        <is>
          <t>Nowa</t>
        </is>
      </c>
      <c r="S317" t="inlineStr">
        <is>
          <t>[FACHOWIEC - nie klient] Sprzatanie po remoncie. Google Maps: 5 gw. z 29 opinii.</t>
        </is>
      </c>
    </row>
    <row r="318">
      <c r="B318" s="34" t="n">
        <v>46135</v>
      </c>
      <c r="C318" t="inlineStr">
        <is>
          <t>Baldur - Profesjonalne sprzatanie biur i mieszkan</t>
        </is>
      </c>
      <c r="D318" t="inlineStr">
        <is>
          <t>Firmy budowlane</t>
        </is>
      </c>
      <c r="E318" t="inlineStr">
        <is>
          <t>TOP (zielony)</t>
        </is>
      </c>
      <c r="G318" t="inlineStr">
        <is>
          <t>+48 502 277 775</t>
        </is>
      </c>
      <c r="J318" t="inlineStr">
        <is>
          <t>Zygmunta Modzelewskiego 23</t>
        </is>
      </c>
      <c r="L318" t="inlineStr">
        <is>
          <t>Wlasciciel / Fachowiec</t>
        </is>
      </c>
      <c r="M318" t="n">
        <v>167</v>
      </c>
      <c r="N318" t="n">
        <v>5</v>
      </c>
      <c r="O318" t="inlineStr">
        <is>
          <t>Google Maps</t>
        </is>
      </c>
      <c r="P318" t="inlineStr">
        <is>
          <t>Nowa</t>
        </is>
      </c>
      <c r="S318" t="inlineStr">
        <is>
          <t>[FACHOWIEC - nie klient] Sprzatanie po remoncie. Google Maps: 5 gw. z 167 opinii.</t>
        </is>
      </c>
    </row>
    <row r="319">
      <c r="B319" s="34" t="n">
        <v>46135</v>
      </c>
      <c r="C319" t="inlineStr">
        <is>
          <t>Przeprowadzki Warszawa, Firma przeprowadzkowa</t>
        </is>
      </c>
      <c r="D319" t="inlineStr">
        <is>
          <t>Firmy budowlane</t>
        </is>
      </c>
      <c r="E319" t="inlineStr">
        <is>
          <t>TOP (zielony)</t>
        </is>
      </c>
      <c r="G319" t="inlineStr">
        <is>
          <t>+48 509 191 217</t>
        </is>
      </c>
      <c r="J319" t="inlineStr">
        <is>
          <t>Władysława Broniewskiego 97</t>
        </is>
      </c>
      <c r="L319" t="inlineStr">
        <is>
          <t>Wlasciciel / Fachowiec</t>
        </is>
      </c>
      <c r="M319" t="n">
        <v>575</v>
      </c>
      <c r="N319" t="n">
        <v>4.9</v>
      </c>
      <c r="O319" t="inlineStr">
        <is>
          <t>Google Maps</t>
        </is>
      </c>
      <c r="P319" t="inlineStr">
        <is>
          <t>Nowa</t>
        </is>
      </c>
      <c r="S319" t="inlineStr">
        <is>
          <t>[FACHOWIEC - nie klient] Przeprowadzki. Google Maps: 4.9 gw. z 575 opinii.</t>
        </is>
      </c>
    </row>
    <row r="320">
      <c r="B320" s="34" t="n">
        <v>46135</v>
      </c>
      <c r="C320" t="inlineStr">
        <is>
          <t>Szybkie-Przeprowadzki | Przeprowadzki Warszawa | Przeprowadzki Gdansk, Krakow, Poznan</t>
        </is>
      </c>
      <c r="D320" t="inlineStr">
        <is>
          <t>Firmy budowlane</t>
        </is>
      </c>
      <c r="E320" t="inlineStr">
        <is>
          <t>TOP (zielony)</t>
        </is>
      </c>
      <c r="G320" t="inlineStr">
        <is>
          <t>+48 511 158 251</t>
        </is>
      </c>
      <c r="J320" t="inlineStr">
        <is>
          <t> · Stanisława Dubois 5</t>
        </is>
      </c>
      <c r="L320" t="inlineStr">
        <is>
          <t>Wlasciciel / Fachowiec</t>
        </is>
      </c>
      <c r="M320" t="n">
        <v>175</v>
      </c>
      <c r="N320" t="n">
        <v>5</v>
      </c>
      <c r="O320" t="inlineStr">
        <is>
          <t>Google Maps</t>
        </is>
      </c>
      <c r="P320" t="inlineStr">
        <is>
          <t>Nowa</t>
        </is>
      </c>
      <c r="S320" t="inlineStr">
        <is>
          <t>[FACHOWIEC - nie klient] Przeprowadzki. Google Maps: 5 gw. z 175 opinii.</t>
        </is>
      </c>
    </row>
    <row r="321">
      <c r="B321" s="34" t="n">
        <v>46135</v>
      </c>
      <c r="C321" t="inlineStr">
        <is>
          <t>Przeprowadzki Warszawa - ✅ Tanie i Profesjonalne, Firma Przeprowadzkowa Od A do Z, Cennik</t>
        </is>
      </c>
      <c r="D321" t="inlineStr">
        <is>
          <t>Firmy budowlane</t>
        </is>
      </c>
      <c r="E321" t="inlineStr">
        <is>
          <t>TOP (zielony)</t>
        </is>
      </c>
      <c r="G321" t="inlineStr">
        <is>
          <t>+48 666 466 850</t>
        </is>
      </c>
      <c r="J321" t="inlineStr">
        <is>
          <t>Złota 60</t>
        </is>
      </c>
      <c r="L321" t="inlineStr">
        <is>
          <t>Wlasciciel / Fachowiec</t>
        </is>
      </c>
      <c r="M321" t="n">
        <v>55</v>
      </c>
      <c r="N321" t="n">
        <v>4.8</v>
      </c>
      <c r="O321" t="inlineStr">
        <is>
          <t>Google Maps</t>
        </is>
      </c>
      <c r="P321" t="inlineStr">
        <is>
          <t>Nowa</t>
        </is>
      </c>
      <c r="S321" t="inlineStr">
        <is>
          <t>[FACHOWIEC - nie klient] Przeprowadzki. Google Maps: 4.8 gw. z 55 opinii.</t>
        </is>
      </c>
    </row>
    <row r="322">
      <c r="B322" s="34" t="n">
        <v>46135</v>
      </c>
      <c r="C322" t="inlineStr">
        <is>
          <t>PL-PRZEPROWADZKI Warszawa | Transport mebli | Usługi przeprowadzkowe</t>
        </is>
      </c>
      <c r="D322" t="inlineStr">
        <is>
          <t>Firmy budowlane</t>
        </is>
      </c>
      <c r="E322" t="inlineStr">
        <is>
          <t>TOP (zielony)</t>
        </is>
      </c>
      <c r="G322" t="inlineStr">
        <is>
          <t>+48 722 052 052</t>
        </is>
      </c>
      <c r="J322" t="inlineStr">
        <is>
          <t>Miedzynarodowa 48/33</t>
        </is>
      </c>
      <c r="L322" t="inlineStr">
        <is>
          <t>Wlasciciel / Fachowiec</t>
        </is>
      </c>
      <c r="M322" t="n">
        <v>140</v>
      </c>
      <c r="N322" t="n">
        <v>5</v>
      </c>
      <c r="O322" t="inlineStr">
        <is>
          <t>Google Maps</t>
        </is>
      </c>
      <c r="P322" t="inlineStr">
        <is>
          <t>Nowa</t>
        </is>
      </c>
      <c r="S322" t="inlineStr">
        <is>
          <t>[FACHOWIEC - nie klient] Przeprowadzki. Google Maps: 5 gw. z 140 opinii.</t>
        </is>
      </c>
    </row>
    <row r="323">
      <c r="B323" s="34" t="n">
        <v>46135</v>
      </c>
      <c r="C323" t="inlineStr">
        <is>
          <t>GO Przeprowadzki</t>
        </is>
      </c>
      <c r="D323" t="inlineStr">
        <is>
          <t>Firmy budowlane</t>
        </is>
      </c>
      <c r="E323" t="inlineStr">
        <is>
          <t>TOP (zielony)</t>
        </is>
      </c>
      <c r="G323" t="inlineStr">
        <is>
          <t>+48 734 168 402</t>
        </is>
      </c>
      <c r="J323" t="inlineStr">
        <is>
          <t>Nowolipie 13/15</t>
        </is>
      </c>
      <c r="L323" t="inlineStr">
        <is>
          <t>Wlasciciel / Fachowiec</t>
        </is>
      </c>
      <c r="M323" t="n">
        <v>453</v>
      </c>
      <c r="N323" t="n">
        <v>5</v>
      </c>
      <c r="O323" t="inlineStr">
        <is>
          <t>Google Maps</t>
        </is>
      </c>
      <c r="P323" t="inlineStr">
        <is>
          <t>Nowa</t>
        </is>
      </c>
      <c r="S323" t="inlineStr">
        <is>
          <t>[FACHOWIEC - nie klient] Przeprowadzki. Google Maps: 5 gw. z 453 opinii.</t>
        </is>
      </c>
    </row>
    <row r="324">
      <c r="B324" s="34" t="n">
        <v>46135</v>
      </c>
      <c r="C324" t="inlineStr">
        <is>
          <t>Przeprowadzki Warszawa - Transport Mebli z Wniesieniem - Firma Przeprowadzkowa TRANS TEAM</t>
        </is>
      </c>
      <c r="D324" t="inlineStr">
        <is>
          <t>Firmy budowlane</t>
        </is>
      </c>
      <c r="E324" t="inlineStr">
        <is>
          <t>TOP (zielony)</t>
        </is>
      </c>
      <c r="G324" t="inlineStr">
        <is>
          <t>+48 783 099 299</t>
        </is>
      </c>
      <c r="J324" t="inlineStr">
        <is>
          <t>Jaktorowska 8/47</t>
        </is>
      </c>
      <c r="L324" t="inlineStr">
        <is>
          <t>Wlasciciel / Fachowiec</t>
        </is>
      </c>
      <c r="M324" t="n">
        <v>67</v>
      </c>
      <c r="N324" t="n">
        <v>4.8</v>
      </c>
      <c r="O324" t="inlineStr">
        <is>
          <t>Google Maps</t>
        </is>
      </c>
      <c r="P324" t="inlineStr">
        <is>
          <t>Nowa</t>
        </is>
      </c>
      <c r="S324" t="inlineStr">
        <is>
          <t>[FACHOWIEC - nie klient] Przeprowadzki. Google Maps: 4.8 gw. z 67 opinii.</t>
        </is>
      </c>
    </row>
    <row r="325">
      <c r="B325" s="34" t="n">
        <v>46135</v>
      </c>
      <c r="C325" t="inlineStr">
        <is>
          <t>Alfa Przeprowadzki</t>
        </is>
      </c>
      <c r="D325" t="inlineStr">
        <is>
          <t>Firmy budowlane</t>
        </is>
      </c>
      <c r="E325" t="inlineStr">
        <is>
          <t>TOP (zielony)</t>
        </is>
      </c>
      <c r="G325" t="inlineStr">
        <is>
          <t>+48 506 506 506</t>
        </is>
      </c>
      <c r="J325" t="inlineStr">
        <is>
          <t>Witolda Doroszewskiego 9</t>
        </is>
      </c>
      <c r="L325" t="inlineStr">
        <is>
          <t>Wlasciciel / Fachowiec</t>
        </is>
      </c>
      <c r="M325" t="n">
        <v>435</v>
      </c>
      <c r="N325" t="n">
        <v>4.9</v>
      </c>
      <c r="O325" t="inlineStr">
        <is>
          <t>Google Maps</t>
        </is>
      </c>
      <c r="P325" t="inlineStr">
        <is>
          <t>Nowa</t>
        </is>
      </c>
      <c r="S325" t="inlineStr">
        <is>
          <t>[FACHOWIEC - nie klient] Przeprowadzki. Google Maps: 4.9 gw. z 435 opinii.</t>
        </is>
      </c>
    </row>
    <row r="326">
      <c r="B326" s="34" t="n">
        <v>46135</v>
      </c>
      <c r="C326" t="inlineStr">
        <is>
          <t>Profesjonalne mycie okien</t>
        </is>
      </c>
      <c r="D326" t="inlineStr">
        <is>
          <t>Firmy budowlane</t>
        </is>
      </c>
      <c r="E326" t="inlineStr">
        <is>
          <t>Sredni (zolty)</t>
        </is>
      </c>
      <c r="G326" t="inlineStr">
        <is>
          <t>+48 780 154 610</t>
        </is>
      </c>
      <c r="J326" t="inlineStr">
        <is>
          <t>Christiana Andersena 43</t>
        </is>
      </c>
      <c r="L326" t="inlineStr">
        <is>
          <t>Wlasciciel / Fachowiec</t>
        </is>
      </c>
      <c r="M326" t="n">
        <v>18</v>
      </c>
      <c r="N326" t="n">
        <v>4.9</v>
      </c>
      <c r="O326" t="inlineStr">
        <is>
          <t>Google Maps</t>
        </is>
      </c>
      <c r="P326" t="inlineStr">
        <is>
          <t>Nowa</t>
        </is>
      </c>
      <c r="S326" t="inlineStr">
        <is>
          <t>[FACHOWIEC - nie klient] Mycie okien. Google Maps: 4.9 gw. z 18 opinii.</t>
        </is>
      </c>
    </row>
    <row r="327">
      <c r="B327" s="34" t="n">
        <v>46135</v>
      </c>
      <c r="C327" t="inlineStr">
        <is>
          <t>Van Der Clean | mycie okien, mycie elewacji, mycie paneli fotowoltaicznych, odkurzanie stref podsufitowych</t>
        </is>
      </c>
      <c r="D327" t="inlineStr">
        <is>
          <t>Firmy budowlane</t>
        </is>
      </c>
      <c r="E327" t="inlineStr">
        <is>
          <t>TOP (zielony)</t>
        </is>
      </c>
      <c r="G327" t="inlineStr">
        <is>
          <t>+48 723 966 595</t>
        </is>
      </c>
      <c r="J327" t="inlineStr">
        <is>
          <t>Aleja Stanow Zjednoczonych 51</t>
        </is>
      </c>
      <c r="L327" t="inlineStr">
        <is>
          <t>Wlasciciel / Fachowiec</t>
        </is>
      </c>
      <c r="M327" t="n">
        <v>44</v>
      </c>
      <c r="N327" t="n">
        <v>5</v>
      </c>
      <c r="O327" t="inlineStr">
        <is>
          <t>Google Maps</t>
        </is>
      </c>
      <c r="P327" t="inlineStr">
        <is>
          <t>Nowa</t>
        </is>
      </c>
      <c r="S327" t="inlineStr">
        <is>
          <t>[FACHOWIEC - nie klient] Mycie okien. Google Maps: 5 gw. z 44 opinii.</t>
        </is>
      </c>
    </row>
    <row r="328">
      <c r="B328" s="34" t="n">
        <v>46135</v>
      </c>
      <c r="C328" t="inlineStr">
        <is>
          <t>Alee Błysk - myjemy okna i witryny</t>
        </is>
      </c>
      <c r="D328" t="inlineStr">
        <is>
          <t>Firmy budowlane</t>
        </is>
      </c>
      <c r="E328" t="inlineStr">
        <is>
          <t>TOP (zielony)</t>
        </is>
      </c>
      <c r="G328" t="inlineStr">
        <is>
          <t>+48 602 101 862</t>
        </is>
      </c>
      <c r="J328" t="inlineStr">
        <is>
          <t>Al. Prymasa Tysiaclecia 153</t>
        </is>
      </c>
      <c r="L328" t="inlineStr">
        <is>
          <t>Wlasciciel / Fachowiec</t>
        </is>
      </c>
      <c r="M328" t="n">
        <v>21</v>
      </c>
      <c r="N328" t="n">
        <v>5</v>
      </c>
      <c r="O328" t="inlineStr">
        <is>
          <t>Google Maps</t>
        </is>
      </c>
      <c r="P328" t="inlineStr">
        <is>
          <t>Nowa</t>
        </is>
      </c>
      <c r="S328" t="inlineStr">
        <is>
          <t>[FACHOWIEC - nie klient] Mycie okien. Google Maps: 5 gw. z 21 opinii.</t>
        </is>
      </c>
    </row>
    <row r="329">
      <c r="B329" s="34" t="n">
        <v>46135</v>
      </c>
      <c r="C329" t="inlineStr">
        <is>
          <t>Mycie okien Warszawa - Warszawa i okolice</t>
        </is>
      </c>
      <c r="D329" t="inlineStr">
        <is>
          <t>Firmy budowlane</t>
        </is>
      </c>
      <c r="E329" t="inlineStr">
        <is>
          <t>Niski (czerwony)</t>
        </is>
      </c>
      <c r="G329" t="inlineStr">
        <is>
          <t>+48 790 553 256</t>
        </is>
      </c>
      <c r="J329" t="inlineStr">
        <is>
          <t>Staniewicka 7</t>
        </is>
      </c>
      <c r="L329" t="inlineStr">
        <is>
          <t>Wlasciciel / Fachowiec</t>
        </is>
      </c>
      <c r="M329" t="n">
        <v>3</v>
      </c>
      <c r="N329" t="n">
        <v>2.3</v>
      </c>
      <c r="O329" t="inlineStr">
        <is>
          <t>Google Maps</t>
        </is>
      </c>
      <c r="P329" t="inlineStr">
        <is>
          <t>Nowa</t>
        </is>
      </c>
      <c r="S329" t="inlineStr">
        <is>
          <t>[FACHOWIEC - nie klient] Mycie okien. Google Maps: 2.3 gw. z 3 opinii.</t>
        </is>
      </c>
    </row>
    <row r="330">
      <c r="B330" s="34" t="n">
        <v>46135</v>
      </c>
      <c r="C330" t="inlineStr">
        <is>
          <t>Emycieokien</t>
        </is>
      </c>
      <c r="D330" t="inlineStr">
        <is>
          <t>Firmy budowlane</t>
        </is>
      </c>
      <c r="E330" t="inlineStr">
        <is>
          <t>Niski (czerwony)</t>
        </is>
      </c>
      <c r="G330" t="inlineStr">
        <is>
          <t>+48 790 444 894</t>
        </is>
      </c>
      <c r="J330" t="inlineStr">
        <is>
          <t>Mozaikowa 95</t>
        </is>
      </c>
      <c r="L330" t="inlineStr">
        <is>
          <t>Wlasciciel / Fachowiec</t>
        </is>
      </c>
      <c r="M330" t="n">
        <v>4</v>
      </c>
      <c r="N330" t="n">
        <v>5</v>
      </c>
      <c r="O330" t="inlineStr">
        <is>
          <t>Google Maps</t>
        </is>
      </c>
      <c r="P330" t="inlineStr">
        <is>
          <t>Nowa</t>
        </is>
      </c>
      <c r="S330" t="inlineStr">
        <is>
          <t>[FACHOWIEC - nie klient] Mycie okien. Google Maps: 5 gw. z 4 opinii.</t>
        </is>
      </c>
    </row>
    <row r="331">
      <c r="B331" s="34" t="n">
        <v>46135</v>
      </c>
      <c r="C331" t="inlineStr">
        <is>
          <t>MaxCleaning</t>
        </is>
      </c>
      <c r="D331" t="inlineStr">
        <is>
          <t>Firmy budowlane</t>
        </is>
      </c>
      <c r="E331" t="inlineStr">
        <is>
          <t>TOP (zielony)</t>
        </is>
      </c>
      <c r="G331" t="inlineStr">
        <is>
          <t>+48 789 999 424</t>
        </is>
      </c>
      <c r="J331" t="inlineStr">
        <is>
          <t>Chmielna 2</t>
        </is>
      </c>
      <c r="L331" t="inlineStr">
        <is>
          <t>Wlasciciel / Fachowiec</t>
        </is>
      </c>
      <c r="M331" t="n">
        <v>23</v>
      </c>
      <c r="N331" t="n">
        <v>4.8</v>
      </c>
      <c r="O331" t="inlineStr">
        <is>
          <t>Google Maps</t>
        </is>
      </c>
      <c r="P331" t="inlineStr">
        <is>
          <t>Nowa</t>
        </is>
      </c>
      <c r="S331" t="inlineStr">
        <is>
          <t>[FACHOWIEC - nie klient] Mycie okien. Google Maps: 4.8 gw. z 23 opinii.</t>
        </is>
      </c>
    </row>
    <row r="332">
      <c r="B332" s="34" t="n">
        <v>46135</v>
      </c>
      <c r="C332" t="inlineStr">
        <is>
          <t>FRESH-KLIMA</t>
        </is>
      </c>
      <c r="D332" t="inlineStr">
        <is>
          <t>Firmy budowlane</t>
        </is>
      </c>
      <c r="E332" t="inlineStr">
        <is>
          <t>TOP (zielony)</t>
        </is>
      </c>
      <c r="F332" t="inlineStr">
        <is>
          <t>Wola</t>
        </is>
      </c>
      <c r="G332" t="inlineStr">
        <is>
          <t>+48 511 930 250</t>
        </is>
      </c>
      <c r="J332" t="inlineStr">
        <is>
          <t>Karolkowa 63</t>
        </is>
      </c>
      <c r="L332" t="inlineStr">
        <is>
          <t>Wlasciciel / Fachowiec</t>
        </is>
      </c>
      <c r="M332" t="n">
        <v>57</v>
      </c>
      <c r="N332" t="n">
        <v>4.9</v>
      </c>
      <c r="O332" t="inlineStr">
        <is>
          <t>Google Maps</t>
        </is>
      </c>
      <c r="P332" t="inlineStr">
        <is>
          <t>Nowa</t>
        </is>
      </c>
      <c r="S332" t="inlineStr">
        <is>
          <t>[FACHOWIEC - nie klient] Klimatyzacja / wentylacja. Google Maps: 4.9 gw. z 57 opinii.</t>
        </is>
      </c>
    </row>
    <row r="333">
      <c r="B333" s="34" t="n">
        <v>46135</v>
      </c>
      <c r="C333" t="inlineStr">
        <is>
          <t>Klimatyzacja Samochodowa - Serwis Klimatyzacji i Odgrzybianie Warszawa Wola</t>
        </is>
      </c>
      <c r="D333" t="inlineStr">
        <is>
          <t>Firmy budowlane</t>
        </is>
      </c>
      <c r="E333" t="inlineStr">
        <is>
          <t>TOP (zielony)</t>
        </is>
      </c>
      <c r="F333" t="inlineStr">
        <is>
          <t>Wola</t>
        </is>
      </c>
      <c r="G333" t="inlineStr">
        <is>
          <t>+48 504 013 799</t>
        </is>
      </c>
      <c r="J333" t="inlineStr">
        <is>
          <t> · Połczynska 4</t>
        </is>
      </c>
      <c r="L333" t="inlineStr">
        <is>
          <t>Wlasciciel / Fachowiec</t>
        </is>
      </c>
      <c r="M333" t="n">
        <v>32</v>
      </c>
      <c r="N333" t="n">
        <v>4.9</v>
      </c>
      <c r="O333" t="inlineStr">
        <is>
          <t>Google Maps</t>
        </is>
      </c>
      <c r="P333" t="inlineStr">
        <is>
          <t>Nowa</t>
        </is>
      </c>
      <c r="S333" t="inlineStr">
        <is>
          <t>[FACHOWIEC - nie klient] Klimatyzacja / wentylacja. Google Maps: 4.9 gw. z 32 opinii.</t>
        </is>
      </c>
    </row>
    <row r="334">
      <c r="B334" s="34" t="n">
        <v>46135</v>
      </c>
      <c r="C334" t="inlineStr">
        <is>
          <t>Serwis klimatyzacji samochodowej</t>
        </is>
      </c>
      <c r="D334" t="inlineStr">
        <is>
          <t>Firmy budowlane</t>
        </is>
      </c>
      <c r="E334" t="inlineStr">
        <is>
          <t>TOP (zielony)</t>
        </is>
      </c>
      <c r="F334" t="inlineStr">
        <is>
          <t>Wola</t>
        </is>
      </c>
      <c r="G334" t="inlineStr">
        <is>
          <t>+48 535 813 479</t>
        </is>
      </c>
      <c r="J334" t="inlineStr">
        <is>
          <t> · Płocka 22</t>
        </is>
      </c>
      <c r="L334" t="inlineStr">
        <is>
          <t>Wlasciciel / Fachowiec</t>
        </is>
      </c>
      <c r="M334" t="n">
        <v>181</v>
      </c>
      <c r="N334" t="n">
        <v>4.9</v>
      </c>
      <c r="O334" t="inlineStr">
        <is>
          <t>Google Maps</t>
        </is>
      </c>
      <c r="P334" t="inlineStr">
        <is>
          <t>Nowa</t>
        </is>
      </c>
      <c r="S334" t="inlineStr">
        <is>
          <t>[FACHOWIEC - nie klient] Klimatyzacja / wentylacja. Google Maps: 4.9 gw. z 181 opinii.</t>
        </is>
      </c>
    </row>
    <row r="335">
      <c r="B335" s="34" t="n">
        <v>46135</v>
      </c>
      <c r="C335" t="inlineStr">
        <is>
          <t>Swiat Klimatyzacji - Montaz i Serwis</t>
        </is>
      </c>
      <c r="D335" t="inlineStr">
        <is>
          <t>Firmy budowlane</t>
        </is>
      </c>
      <c r="E335" t="inlineStr">
        <is>
          <t>TOP (zielony)</t>
        </is>
      </c>
      <c r="F335" t="inlineStr">
        <is>
          <t>Wola</t>
        </is>
      </c>
      <c r="G335" t="inlineStr">
        <is>
          <t>+48 729 870 000</t>
        </is>
      </c>
      <c r="J335" t="inlineStr">
        <is>
          <t>Młynarska 42</t>
        </is>
      </c>
      <c r="L335" t="inlineStr">
        <is>
          <t>Wlasciciel / Fachowiec</t>
        </is>
      </c>
      <c r="M335" t="n">
        <v>65</v>
      </c>
      <c r="N335" t="n">
        <v>5</v>
      </c>
      <c r="O335" t="inlineStr">
        <is>
          <t>Google Maps</t>
        </is>
      </c>
      <c r="P335" t="inlineStr">
        <is>
          <t>Nowa</t>
        </is>
      </c>
      <c r="S335" t="inlineStr">
        <is>
          <t>[FACHOWIEC - nie klient] Klimatyzacja / wentylacja. Google Maps: 5 gw. z 65 opinii.</t>
        </is>
      </c>
    </row>
    <row r="336">
      <c r="B336" s="34" t="n">
        <v>46135</v>
      </c>
      <c r="C336" t="inlineStr">
        <is>
          <t>BW-INSTAL Klimatyzacja Warszawa - Montaz Serwis</t>
        </is>
      </c>
      <c r="D336" t="inlineStr">
        <is>
          <t>Firmy budowlane</t>
        </is>
      </c>
      <c r="E336" t="inlineStr">
        <is>
          <t>TOP (zielony)</t>
        </is>
      </c>
      <c r="F336" t="inlineStr">
        <is>
          <t>Wola</t>
        </is>
      </c>
      <c r="G336" t="inlineStr">
        <is>
          <t>+48 723 241 476</t>
        </is>
      </c>
      <c r="J336" t="inlineStr">
        <is>
          <t>Stanczyka 4/41</t>
        </is>
      </c>
      <c r="L336" t="inlineStr">
        <is>
          <t>Wlasciciel / Fachowiec</t>
        </is>
      </c>
      <c r="M336" t="n">
        <v>35</v>
      </c>
      <c r="N336" t="n">
        <v>5</v>
      </c>
      <c r="O336" t="inlineStr">
        <is>
          <t>Google Maps</t>
        </is>
      </c>
      <c r="P336" t="inlineStr">
        <is>
          <t>Nowa</t>
        </is>
      </c>
      <c r="S336" t="inlineStr">
        <is>
          <t>[FACHOWIEC - nie klient] Klimatyzacja / wentylacja. Google Maps: 5 gw. z 35 opinii.</t>
        </is>
      </c>
    </row>
    <row r="337">
      <c r="B337" s="34" t="n">
        <v>46135</v>
      </c>
      <c r="C337" t="inlineStr">
        <is>
          <t>Klimatyzacja Warszawa</t>
        </is>
      </c>
      <c r="D337" t="inlineStr">
        <is>
          <t>Firmy budowlane</t>
        </is>
      </c>
      <c r="E337" t="inlineStr">
        <is>
          <t>Sredni (zolty)</t>
        </is>
      </c>
      <c r="F337" t="inlineStr">
        <is>
          <t>Wola</t>
        </is>
      </c>
      <c r="G337" t="inlineStr">
        <is>
          <t>+48 690 955 211</t>
        </is>
      </c>
      <c r="J337" t="inlineStr">
        <is>
          <t>Wolska 84/lok. 115</t>
        </is>
      </c>
      <c r="L337" t="inlineStr">
        <is>
          <t>Wlasciciel / Fachowiec</t>
        </is>
      </c>
      <c r="M337" t="n">
        <v>6</v>
      </c>
      <c r="N337" t="n">
        <v>4.3</v>
      </c>
      <c r="O337" t="inlineStr">
        <is>
          <t>Google Maps</t>
        </is>
      </c>
      <c r="P337" t="inlineStr">
        <is>
          <t>Nowa</t>
        </is>
      </c>
      <c r="S337" t="inlineStr">
        <is>
          <t>[FACHOWIEC - nie klient] Klimatyzacja / wentylacja. Google Maps: 4.3 gw. z 6 opinii.</t>
        </is>
      </c>
    </row>
    <row r="338">
      <c r="B338" s="34" t="n">
        <v>46135</v>
      </c>
      <c r="C338" t="inlineStr">
        <is>
          <t>Instalekspert</t>
        </is>
      </c>
      <c r="D338" t="inlineStr">
        <is>
          <t>Firmy budowlane</t>
        </is>
      </c>
      <c r="E338" t="inlineStr">
        <is>
          <t>TOP (zielony)</t>
        </is>
      </c>
      <c r="F338" t="inlineStr">
        <is>
          <t>Wola</t>
        </is>
      </c>
      <c r="G338" t="inlineStr">
        <is>
          <t>+48 665 364 177</t>
        </is>
      </c>
      <c r="J338" t="inlineStr">
        <is>
          <t>Jana Kazimierza 33A</t>
        </is>
      </c>
      <c r="L338" t="inlineStr">
        <is>
          <t>Wlasciciel / Fachowiec</t>
        </is>
      </c>
      <c r="M338" t="n">
        <v>47</v>
      </c>
      <c r="N338" t="n">
        <v>5</v>
      </c>
      <c r="O338" t="inlineStr">
        <is>
          <t>Google Maps</t>
        </is>
      </c>
      <c r="P338" t="inlineStr">
        <is>
          <t>Nowa</t>
        </is>
      </c>
      <c r="S338" t="inlineStr">
        <is>
          <t>[FACHOWIEC - nie klient] Klimatyzacja / wentylacja. Google Maps: 5 gw. z 47 opinii.</t>
        </is>
      </c>
    </row>
    <row r="339">
      <c r="B339" s="34" t="n">
        <v>46135</v>
      </c>
      <c r="C339" t="inlineStr">
        <is>
          <t>Autoalarmy Czujniki parkowania Elektryk samochodowy</t>
        </is>
      </c>
      <c r="D339" t="inlineStr">
        <is>
          <t>Firmy budowlane</t>
        </is>
      </c>
      <c r="E339" t="inlineStr">
        <is>
          <t>TOP (zielony)</t>
        </is>
      </c>
      <c r="F339" t="inlineStr">
        <is>
          <t>Mokotow</t>
        </is>
      </c>
      <c r="G339" t="inlineStr">
        <is>
          <t>+48 601 310 945</t>
        </is>
      </c>
      <c r="J339" t="inlineStr">
        <is>
          <t>Konstruktorska 6</t>
        </is>
      </c>
      <c r="L339" t="inlineStr">
        <is>
          <t>Wlasciciel / Fachowiec</t>
        </is>
      </c>
      <c r="M339" t="n">
        <v>108</v>
      </c>
      <c r="N339" t="n">
        <v>4.9</v>
      </c>
      <c r="O339" t="inlineStr">
        <is>
          <t>Google Maps</t>
        </is>
      </c>
      <c r="P339" t="inlineStr">
        <is>
          <t>Nowa</t>
        </is>
      </c>
      <c r="S339" t="inlineStr">
        <is>
          <t>[FACHOWIEC - nie klient] Alarmy / monitoring. Google Maps: 4.9 gw. z 108 opinii.</t>
        </is>
      </c>
    </row>
    <row r="340">
      <c r="B340" s="34" t="n">
        <v>46135</v>
      </c>
      <c r="C340" t="inlineStr">
        <is>
          <t>Dachy. Dekarz. Usługi dekarskie. Prace dekarskie. Obrobki blacharskie</t>
        </is>
      </c>
      <c r="D340" t="inlineStr">
        <is>
          <t>Firmy budowlane</t>
        </is>
      </c>
      <c r="E340" t="inlineStr">
        <is>
          <t>Sredni (zolty)</t>
        </is>
      </c>
      <c r="F340" t="inlineStr">
        <is>
          <t>Wilanow</t>
        </is>
      </c>
      <c r="G340" t="inlineStr">
        <is>
          <t>+48 503 317 310</t>
        </is>
      </c>
      <c r="J340" t="inlineStr">
        <is>
          <t>Aleja Rzeczypospolitej 23</t>
        </is>
      </c>
      <c r="L340" t="inlineStr">
        <is>
          <t>Wlasciciel / Fachowiec</t>
        </is>
      </c>
      <c r="M340" t="n">
        <v>5</v>
      </c>
      <c r="N340" t="n">
        <v>5</v>
      </c>
      <c r="O340" t="inlineStr">
        <is>
          <t>Google Maps</t>
        </is>
      </c>
      <c r="P340" t="inlineStr">
        <is>
          <t>Nowa</t>
        </is>
      </c>
      <c r="S340" t="inlineStr">
        <is>
          <t>[FACHOWIEC - nie klient] Dekarz. Google Maps: 5 gw. z 5 opinii.</t>
        </is>
      </c>
    </row>
    <row r="341">
      <c r="B341" s="34" t="n">
        <v>46135</v>
      </c>
      <c r="C341" t="inlineStr">
        <is>
          <t>Solidny Dekarz</t>
        </is>
      </c>
      <c r="D341" t="inlineStr">
        <is>
          <t>Firmy budowlane</t>
        </is>
      </c>
      <c r="E341" t="inlineStr">
        <is>
          <t>Niski (czerwony)</t>
        </is>
      </c>
      <c r="F341" t="inlineStr">
        <is>
          <t>Wilanow</t>
        </is>
      </c>
      <c r="G341" t="inlineStr">
        <is>
          <t>+48 22 872 16 67</t>
        </is>
      </c>
      <c r="J341" t="inlineStr">
        <is>
          <t>Trakt Lubelski 184</t>
        </is>
      </c>
      <c r="L341" t="inlineStr">
        <is>
          <t>Wlasciciel / Fachowiec</t>
        </is>
      </c>
      <c r="M341" t="n">
        <v>3</v>
      </c>
      <c r="N341" t="n">
        <v>3.7</v>
      </c>
      <c r="O341" t="inlineStr">
        <is>
          <t>Google Maps</t>
        </is>
      </c>
      <c r="P341" t="inlineStr">
        <is>
          <t>Nowa</t>
        </is>
      </c>
      <c r="S341" t="inlineStr">
        <is>
          <t>[FACHOWIEC - nie klient] Dekarz. Google Maps: 3.7 gw. z 3 opinii.</t>
        </is>
      </c>
    </row>
    <row r="342">
      <c r="B342" s="34" t="n">
        <v>46135</v>
      </c>
      <c r="C342" t="inlineStr">
        <is>
          <t>Mazowieckie Pogotowie Dachowe</t>
        </is>
      </c>
      <c r="D342" t="inlineStr">
        <is>
          <t>Firmy budowlane</t>
        </is>
      </c>
      <c r="E342" t="inlineStr">
        <is>
          <t>Sredni (zolty)</t>
        </is>
      </c>
      <c r="F342" t="inlineStr">
        <is>
          <t>Wilanow</t>
        </is>
      </c>
      <c r="G342" t="inlineStr">
        <is>
          <t>+48 691 168 859</t>
        </is>
      </c>
      <c r="J342" t="inlineStr">
        <is>
          <t>Wiolinowa 8</t>
        </is>
      </c>
      <c r="L342" t="inlineStr">
        <is>
          <t>Wlasciciel / Fachowiec</t>
        </is>
      </c>
      <c r="M342" t="n">
        <v>13</v>
      </c>
      <c r="N342" t="n">
        <v>5</v>
      </c>
      <c r="O342" t="inlineStr">
        <is>
          <t>Google Maps</t>
        </is>
      </c>
      <c r="P342" t="inlineStr">
        <is>
          <t>Nowa</t>
        </is>
      </c>
      <c r="S342" t="inlineStr">
        <is>
          <t>[FACHOWIEC - nie klient] Dekarz. Google Maps: 5 gw. z 13 opinii.</t>
        </is>
      </c>
    </row>
    <row r="343">
      <c r="B343" s="34" t="n">
        <v>46135</v>
      </c>
      <c r="C343" t="inlineStr">
        <is>
          <t>Usługi dekarskie Mentorbud</t>
        </is>
      </c>
      <c r="D343" t="inlineStr">
        <is>
          <t>Firmy budowlane</t>
        </is>
      </c>
      <c r="E343" t="inlineStr">
        <is>
          <t>Sredni (zolty)</t>
        </is>
      </c>
      <c r="F343" t="inlineStr">
        <is>
          <t>Wilanow</t>
        </is>
      </c>
      <c r="G343" t="inlineStr">
        <is>
          <t>+48 607 119 390</t>
        </is>
      </c>
      <c r="J343" t="inlineStr">
        <is>
          <t>Wał Miedzeszynski 235</t>
        </is>
      </c>
      <c r="L343" t="inlineStr">
        <is>
          <t>Wlasciciel / Fachowiec</t>
        </is>
      </c>
      <c r="M343" t="n">
        <v>5</v>
      </c>
      <c r="N343" t="n">
        <v>4.4</v>
      </c>
      <c r="O343" t="inlineStr">
        <is>
          <t>Google Maps</t>
        </is>
      </c>
      <c r="P343" t="inlineStr">
        <is>
          <t>Nowa</t>
        </is>
      </c>
      <c r="S343" t="inlineStr">
        <is>
          <t>[FACHOWIEC - nie klient] Dekarz. Google Maps: 4.4 gw. z 5 opinii.</t>
        </is>
      </c>
    </row>
    <row r="344">
      <c r="B344" s="34" t="n">
        <v>46135</v>
      </c>
      <c r="C344" t="inlineStr">
        <is>
          <t>Gazeta Fachowy Dekarz&amp;Ciesla</t>
        </is>
      </c>
      <c r="D344" t="inlineStr">
        <is>
          <t>Firmy budowlane</t>
        </is>
      </c>
      <c r="E344" t="inlineStr">
        <is>
          <t>TOP (zielony)</t>
        </is>
      </c>
      <c r="F344" t="inlineStr">
        <is>
          <t>Wilanow</t>
        </is>
      </c>
      <c r="G344" t="inlineStr">
        <is>
          <t>+48 515 251 052</t>
        </is>
      </c>
      <c r="J344" t="inlineStr">
        <is>
          <t>Ogorkowa 44H/3</t>
        </is>
      </c>
      <c r="L344" t="inlineStr">
        <is>
          <t>Wlasciciel / Fachowiec</t>
        </is>
      </c>
      <c r="M344" t="n">
        <v>122</v>
      </c>
      <c r="N344" t="n">
        <v>5</v>
      </c>
      <c r="O344" t="inlineStr">
        <is>
          <t>Google Maps</t>
        </is>
      </c>
      <c r="P344" t="inlineStr">
        <is>
          <t>Nowa</t>
        </is>
      </c>
      <c r="S344" t="inlineStr">
        <is>
          <t>[FACHOWIEC - nie klient] Dekarz. Google Maps: 5 gw. z 122 opinii.</t>
        </is>
      </c>
    </row>
    <row r="345">
      <c r="B345" s="34" t="n">
        <v>46135</v>
      </c>
      <c r="C345" t="inlineStr">
        <is>
          <t>Jakmar</t>
        </is>
      </c>
      <c r="D345" t="inlineStr">
        <is>
          <t>Firmy budowlane</t>
        </is>
      </c>
      <c r="E345" t="inlineStr">
        <is>
          <t>TOP (zielony)</t>
        </is>
      </c>
      <c r="G345" t="inlineStr">
        <is>
          <t>+48 501 413 597</t>
        </is>
      </c>
      <c r="J345" t="inlineStr">
        <is>
          <t>Potrzebna 48</t>
        </is>
      </c>
      <c r="L345" t="inlineStr">
        <is>
          <t>Wlasciciel / Fachowiec</t>
        </is>
      </c>
      <c r="M345" t="n">
        <v>295</v>
      </c>
      <c r="N345" t="n">
        <v>4.9</v>
      </c>
      <c r="O345" t="inlineStr">
        <is>
          <t>Google Maps</t>
        </is>
      </c>
      <c r="P345" t="inlineStr">
        <is>
          <t>Nowa</t>
        </is>
      </c>
      <c r="S345" t="inlineStr">
        <is>
          <t>[FACHOWIEC - nie klient] Wywoz gruzu. Google Maps: 4.9 gw. z 295 opinii.</t>
        </is>
      </c>
    </row>
    <row r="346">
      <c r="B346" s="34" t="n">
        <v>46135</v>
      </c>
      <c r="C346" t="inlineStr">
        <is>
          <t>FASTGRUZ - Wywoz gruzu Warszawa, Kontenery na gruz i odpady</t>
        </is>
      </c>
      <c r="D346" t="inlineStr">
        <is>
          <t>Firmy budowlane</t>
        </is>
      </c>
      <c r="E346" t="inlineStr">
        <is>
          <t>TOP (zielony)</t>
        </is>
      </c>
      <c r="G346" t="inlineStr">
        <is>
          <t>+48 690 225 225</t>
        </is>
      </c>
      <c r="J346" t="inlineStr">
        <is>
          <t> · Leszka Czarnego 15</t>
        </is>
      </c>
      <c r="L346" t="inlineStr">
        <is>
          <t>Wlasciciel / Fachowiec</t>
        </is>
      </c>
      <c r="M346" t="n">
        <v>217</v>
      </c>
      <c r="N346" t="n">
        <v>4.9</v>
      </c>
      <c r="O346" t="inlineStr">
        <is>
          <t>Google Maps</t>
        </is>
      </c>
      <c r="P346" t="inlineStr">
        <is>
          <t>Nowa</t>
        </is>
      </c>
      <c r="S346" t="inlineStr">
        <is>
          <t>[FACHOWIEC - nie klient] Wywoz gruzu. Google Maps: 4.9 gw. z 217 opinii.</t>
        </is>
      </c>
    </row>
    <row r="347">
      <c r="B347" s="34" t="n">
        <v>46135</v>
      </c>
      <c r="C347" t="inlineStr">
        <is>
          <t>Buli Wywoz Gruzu Big Bag Kontenery</t>
        </is>
      </c>
      <c r="D347" t="inlineStr">
        <is>
          <t>Firmy budowlane</t>
        </is>
      </c>
      <c r="E347" t="inlineStr">
        <is>
          <t>TOP (zielony)</t>
        </is>
      </c>
      <c r="G347" t="inlineStr">
        <is>
          <t>+48 22 125 51 46</t>
        </is>
      </c>
      <c r="J347" t="inlineStr">
        <is>
          <t>Staniewicka 1</t>
        </is>
      </c>
      <c r="L347" t="inlineStr">
        <is>
          <t>Wlasciciel / Fachowiec</t>
        </is>
      </c>
      <c r="M347" t="n">
        <v>228</v>
      </c>
      <c r="N347" t="n">
        <v>4.8</v>
      </c>
      <c r="O347" t="inlineStr">
        <is>
          <t>Google Maps</t>
        </is>
      </c>
      <c r="P347" t="inlineStr">
        <is>
          <t>Nowa</t>
        </is>
      </c>
      <c r="S347" t="inlineStr">
        <is>
          <t>[FACHOWIEC - nie klient] Wywoz gruzu. Google Maps: 4.8 gw. z 228 opinii.</t>
        </is>
      </c>
    </row>
    <row r="348">
      <c r="B348" s="34" t="n">
        <v>46135</v>
      </c>
      <c r="C348" t="inlineStr">
        <is>
          <t>Gruzar Wywoz Gruzu - Kontenery na Gruz i Smieci Warszawa</t>
        </is>
      </c>
      <c r="D348" t="inlineStr">
        <is>
          <t>Firmy budowlane</t>
        </is>
      </c>
      <c r="E348" t="inlineStr">
        <is>
          <t>TOP (zielony)</t>
        </is>
      </c>
      <c r="G348" t="inlineStr">
        <is>
          <t>+48 22 125 51 67</t>
        </is>
      </c>
      <c r="J348" t="inlineStr">
        <is>
          <t> · Nagodzicow 3</t>
        </is>
      </c>
      <c r="L348" t="inlineStr">
        <is>
          <t>Wlasciciel / Fachowiec</t>
        </is>
      </c>
      <c r="M348" t="n">
        <v>77</v>
      </c>
      <c r="N348" t="n">
        <v>5</v>
      </c>
      <c r="O348" t="inlineStr">
        <is>
          <t>Google Maps</t>
        </is>
      </c>
      <c r="P348" t="inlineStr">
        <is>
          <t>Nowa</t>
        </is>
      </c>
      <c r="S348" t="inlineStr">
        <is>
          <t>[FACHOWIEC - nie klient] Wywoz gruzu. Google Maps: 5 gw. z 77 opinii.</t>
        </is>
      </c>
    </row>
    <row r="349">
      <c r="B349" s="34" t="n">
        <v>46135</v>
      </c>
      <c r="C349" t="inlineStr">
        <is>
          <t>Krymar - Kontenery na gruz, wywoz gruzu Warszawa</t>
        </is>
      </c>
      <c r="D349" t="inlineStr">
        <is>
          <t>Firmy budowlane</t>
        </is>
      </c>
      <c r="E349" t="inlineStr">
        <is>
          <t>TOP (zielony)</t>
        </is>
      </c>
      <c r="G349" t="inlineStr">
        <is>
          <t>+48 512 280 610</t>
        </is>
      </c>
      <c r="J349" t="inlineStr">
        <is>
          <t>Staniewicka 1A</t>
        </is>
      </c>
      <c r="L349" t="inlineStr">
        <is>
          <t>Wlasciciel / Fachowiec</t>
        </is>
      </c>
      <c r="M349" t="n">
        <v>79</v>
      </c>
      <c r="N349" t="n">
        <v>4.3</v>
      </c>
      <c r="O349" t="inlineStr">
        <is>
          <t>Google Maps</t>
        </is>
      </c>
      <c r="P349" t="inlineStr">
        <is>
          <t>Nowa</t>
        </is>
      </c>
      <c r="S349" t="inlineStr">
        <is>
          <t>[FACHOWIEC - nie klient] Wywoz gruzu. Google Maps: 4.3 gw. z 79 opinii.</t>
        </is>
      </c>
    </row>
    <row r="350">
      <c r="B350" s="34" t="n">
        <v>46135</v>
      </c>
      <c r="C350" t="inlineStr">
        <is>
          <t>EKO-RAFF Wywoz gruzu i wynajem kontenerow na gruz, smieci, odpady budowlane | Warszawa</t>
        </is>
      </c>
      <c r="D350" t="inlineStr">
        <is>
          <t>Firmy budowlane</t>
        </is>
      </c>
      <c r="E350" t="inlineStr">
        <is>
          <t>TOP (zielony)</t>
        </is>
      </c>
      <c r="G350" t="inlineStr">
        <is>
          <t>+48 664 916 888</t>
        </is>
      </c>
      <c r="J350" t="inlineStr">
        <is>
          <t> · Gołdapska 5</t>
        </is>
      </c>
      <c r="L350" t="inlineStr">
        <is>
          <t>Wlasciciel / Fachowiec</t>
        </is>
      </c>
      <c r="M350" t="n">
        <v>56</v>
      </c>
      <c r="N350" t="n">
        <v>4.5</v>
      </c>
      <c r="O350" t="inlineStr">
        <is>
          <t>Google Maps</t>
        </is>
      </c>
      <c r="P350" t="inlineStr">
        <is>
          <t>Nowa</t>
        </is>
      </c>
      <c r="S350" t="inlineStr">
        <is>
          <t>[FACHOWIEC - nie klient] Wywoz gruzu. Google Maps: 4.5 gw. z 56 opinii.</t>
        </is>
      </c>
    </row>
    <row r="351">
      <c r="B351" s="34" t="n">
        <v>46135</v>
      </c>
      <c r="C351" t="inlineStr">
        <is>
          <t>Pompy ciepła - AVM</t>
        </is>
      </c>
      <c r="D351" t="inlineStr">
        <is>
          <t>Firmy budowlane</t>
        </is>
      </c>
      <c r="E351" t="inlineStr">
        <is>
          <t>TOP (zielony)</t>
        </is>
      </c>
      <c r="G351" t="inlineStr">
        <is>
          <t>+48 22 602 21 03</t>
        </is>
      </c>
      <c r="J351" t="inlineStr">
        <is>
          <t>Łodygowa 20F</t>
        </is>
      </c>
      <c r="L351" t="inlineStr">
        <is>
          <t>Wlasciciel / Fachowiec</t>
        </is>
      </c>
      <c r="M351" t="n">
        <v>77</v>
      </c>
      <c r="N351" t="n">
        <v>4.1</v>
      </c>
      <c r="O351" t="inlineStr">
        <is>
          <t>Google Maps</t>
        </is>
      </c>
      <c r="P351" t="inlineStr">
        <is>
          <t>Nowa</t>
        </is>
      </c>
      <c r="S351" t="inlineStr">
        <is>
          <t>[FACHOWIEC - nie klient] Pompa ciepla. Google Maps: 4.1 gw. z 77 opinii.</t>
        </is>
      </c>
    </row>
    <row r="352">
      <c r="B352" s="34" t="n">
        <v>46135</v>
      </c>
      <c r="C352" t="inlineStr">
        <is>
          <t>Sitarsky Energy Fotowoltaika Pompy Ciepła Klimatyzacja</t>
        </is>
      </c>
      <c r="D352" t="inlineStr">
        <is>
          <t>Firmy budowlane</t>
        </is>
      </c>
      <c r="E352" t="inlineStr">
        <is>
          <t>TOP (zielony)</t>
        </is>
      </c>
      <c r="G352" t="inlineStr">
        <is>
          <t>+48 502 777 450</t>
        </is>
      </c>
      <c r="J352" t="inlineStr">
        <is>
          <t> · Foksal 13/lok. 29</t>
        </is>
      </c>
      <c r="L352" t="inlineStr">
        <is>
          <t>Wlasciciel / Fachowiec</t>
        </is>
      </c>
      <c r="M352" t="n">
        <v>39</v>
      </c>
      <c r="N352" t="n">
        <v>5</v>
      </c>
      <c r="O352" t="inlineStr">
        <is>
          <t>Google Maps</t>
        </is>
      </c>
      <c r="P352" t="inlineStr">
        <is>
          <t>Nowa</t>
        </is>
      </c>
      <c r="S352" t="inlineStr">
        <is>
          <t>[FACHOWIEC - nie klient] Pompa ciepla. Google Maps: 5 gw. z 39 opinii.</t>
        </is>
      </c>
    </row>
    <row r="353">
      <c r="B353" s="34" t="n">
        <v>46135</v>
      </c>
      <c r="C353" t="inlineStr">
        <is>
          <t>SANGO, Pompy Ciepła, Klimatyzacja, Montaz, Serwis, Naprawa.</t>
        </is>
      </c>
      <c r="D353" t="inlineStr">
        <is>
          <t>Firmy budowlane</t>
        </is>
      </c>
      <c r="E353" t="inlineStr">
        <is>
          <t>Niski (czerwony)</t>
        </is>
      </c>
      <c r="G353" t="inlineStr">
        <is>
          <t>+48 690 190 630</t>
        </is>
      </c>
      <c r="J353" t="inlineStr">
        <is>
          <t>Gorczewska 22</t>
        </is>
      </c>
      <c r="L353" t="inlineStr">
        <is>
          <t>Wlasciciel / Fachowiec</t>
        </is>
      </c>
      <c r="M353" t="n">
        <v>1</v>
      </c>
      <c r="N353" t="n">
        <v>5</v>
      </c>
      <c r="O353" t="inlineStr">
        <is>
          <t>Google Maps</t>
        </is>
      </c>
      <c r="P353" t="inlineStr">
        <is>
          <t>Nowa</t>
        </is>
      </c>
      <c r="S353" t="inlineStr">
        <is>
          <t>[FACHOWIEC - nie klient] Pompa ciepla. Google Maps: 5 gw. z 1 opinii.</t>
        </is>
      </c>
    </row>
    <row r="354">
      <c r="B354" s="34" t="n">
        <v>46135</v>
      </c>
      <c r="C354" t="inlineStr">
        <is>
          <t>T.M. Instalacje</t>
        </is>
      </c>
      <c r="D354" t="inlineStr">
        <is>
          <t>Firmy budowlane</t>
        </is>
      </c>
      <c r="E354" t="inlineStr">
        <is>
          <t>Sredni (zolty)</t>
        </is>
      </c>
      <c r="G354" t="inlineStr">
        <is>
          <t>+48 502 099 684</t>
        </is>
      </c>
      <c r="J354" t="inlineStr">
        <is>
          <t>Modlinska 192a</t>
        </is>
      </c>
      <c r="L354" t="inlineStr">
        <is>
          <t>Wlasciciel / Fachowiec</t>
        </is>
      </c>
      <c r="M354" t="n">
        <v>19</v>
      </c>
      <c r="N354" t="n">
        <v>4.6</v>
      </c>
      <c r="O354" t="inlineStr">
        <is>
          <t>Google Maps</t>
        </is>
      </c>
      <c r="P354" t="inlineStr">
        <is>
          <t>Nowa</t>
        </is>
      </c>
      <c r="S354" t="inlineStr">
        <is>
          <t>[FACHOWIEC - nie klient] Pompa ciepla. Google Maps: 4.6 gw. z 19 opinii.</t>
        </is>
      </c>
    </row>
    <row r="355">
      <c r="B355" s="34" t="n">
        <v>46135</v>
      </c>
      <c r="C355" t="inlineStr">
        <is>
          <t>Energy House Solutions - eksperci od pomp ciepła</t>
        </is>
      </c>
      <c r="D355" t="inlineStr">
        <is>
          <t>Firmy budowlane</t>
        </is>
      </c>
      <c r="E355" t="inlineStr">
        <is>
          <t>Sredni (zolty)</t>
        </is>
      </c>
      <c r="G355" t="inlineStr">
        <is>
          <t>+48 22 100 57 75</t>
        </is>
      </c>
      <c r="J355" t="inlineStr">
        <is>
          <t>Hoza 86/410</t>
        </is>
      </c>
      <c r="L355" t="inlineStr">
        <is>
          <t>Wlasciciel / Fachowiec</t>
        </is>
      </c>
      <c r="M355" t="n">
        <v>120</v>
      </c>
      <c r="N355" t="n">
        <v>3.8</v>
      </c>
      <c r="O355" t="inlineStr">
        <is>
          <t>Google Maps</t>
        </is>
      </c>
      <c r="P355" t="inlineStr">
        <is>
          <t>Nowa</t>
        </is>
      </c>
      <c r="S355" t="inlineStr">
        <is>
          <t>[FACHOWIEC - nie klient] Pompa ciepla. Google Maps: 3.8 gw. z 120 opinii.</t>
        </is>
      </c>
    </row>
    <row r="356">
      <c r="B356" s="34" t="n">
        <v>46135</v>
      </c>
      <c r="C356" t="inlineStr">
        <is>
          <t>POMPY CIEPŁA POLSKA Sp. z o.o.</t>
        </is>
      </c>
      <c r="D356" t="inlineStr">
        <is>
          <t>Firmy budowlane</t>
        </is>
      </c>
      <c r="E356" t="inlineStr">
        <is>
          <t>Niski (czerwony)</t>
        </is>
      </c>
      <c r="G356" t="inlineStr">
        <is>
          <t>+48 505 002 266</t>
        </is>
      </c>
      <c r="J356" t="inlineStr">
        <is>
          <t>Tadeusza Hennela 5</t>
        </is>
      </c>
      <c r="L356" t="inlineStr">
        <is>
          <t>Wlasciciel / Fachowiec</t>
        </is>
      </c>
      <c r="M356" t="n">
        <v>3</v>
      </c>
      <c r="N356" t="n">
        <v>5</v>
      </c>
      <c r="O356" t="inlineStr">
        <is>
          <t>Google Maps</t>
        </is>
      </c>
      <c r="P356" t="inlineStr">
        <is>
          <t>Nowa</t>
        </is>
      </c>
      <c r="S356" t="inlineStr">
        <is>
          <t>[FACHOWIEC - nie klient] Pompa ciepla. Google Maps: 5 gw. z 3 opinii.</t>
        </is>
      </c>
    </row>
    <row r="357">
      <c r="B357" s="34" t="n">
        <v>46135</v>
      </c>
      <c r="C357" t="inlineStr">
        <is>
          <t>CHILL IT! Pompy ciepła i Klimatyzacja</t>
        </is>
      </c>
      <c r="D357" t="inlineStr">
        <is>
          <t>Firmy budowlane</t>
        </is>
      </c>
      <c r="E357" t="inlineStr">
        <is>
          <t>TOP (zielony)</t>
        </is>
      </c>
      <c r="G357" t="inlineStr">
        <is>
          <t>+48 667 850 729</t>
        </is>
      </c>
      <c r="J357" t="inlineStr">
        <is>
          <t>29 Listopada 10/lok. 25</t>
        </is>
      </c>
      <c r="L357" t="inlineStr">
        <is>
          <t>Wlasciciel / Fachowiec</t>
        </is>
      </c>
      <c r="M357" t="n">
        <v>64</v>
      </c>
      <c r="N357" t="n">
        <v>4.6</v>
      </c>
      <c r="O357" t="inlineStr">
        <is>
          <t>Google Maps</t>
        </is>
      </c>
      <c r="P357" t="inlineStr">
        <is>
          <t>Nowa</t>
        </is>
      </c>
      <c r="S357" t="inlineStr">
        <is>
          <t>[FACHOWIEC - nie klient] Pompa ciepla. Google Maps: 4.6 gw. z 64 opinii.</t>
        </is>
      </c>
    </row>
    <row r="358">
      <c r="B358" s="34" t="n">
        <v>46135</v>
      </c>
      <c r="C358" t="inlineStr">
        <is>
          <t>ekcja Warszawa | Odpluskwianie Warszawa | Pluskwy Warszawa | Zwalczanie pluskiew Warszawa | Zwalczanie pluskwy</t>
        </is>
      </c>
      <c r="D358" t="inlineStr">
        <is>
          <t>Firmy budowlane</t>
        </is>
      </c>
      <c r="E358" t="inlineStr">
        <is>
          <t>TOP (zielony)</t>
        </is>
      </c>
      <c r="G358" t="inlineStr">
        <is>
          <t>+48 733 788 282</t>
        </is>
      </c>
      <c r="J358" t="inlineStr">
        <is>
          <t> · Ksiazat Mazowieckich 6/23</t>
        </is>
      </c>
      <c r="L358" t="inlineStr">
        <is>
          <t>Wlasciciel / Fachowiec</t>
        </is>
      </c>
      <c r="M358" t="n">
        <v>66</v>
      </c>
      <c r="N358" t="n">
        <v>5</v>
      </c>
      <c r="O358" t="inlineStr">
        <is>
          <t>Google Maps</t>
        </is>
      </c>
      <c r="P358" t="inlineStr">
        <is>
          <t>Nowa</t>
        </is>
      </c>
      <c r="S358" t="inlineStr">
        <is>
          <t>[FACHOWIEC - nie klient] Dezynsekcja / deratyzacja. Google Maps: 5 gw. z 66 opinii.</t>
        </is>
      </c>
    </row>
    <row r="359">
      <c r="B359" s="34" t="n">
        <v>46135</v>
      </c>
      <c r="C359" t="inlineStr">
        <is>
          <t>OdpluskwianieWarszawa - Dezynsekcja Warszawa - Deratyzacja Warszawa - Zwalczanie karaluchow</t>
        </is>
      </c>
      <c r="D359" t="inlineStr">
        <is>
          <t>Firmy budowlane</t>
        </is>
      </c>
      <c r="E359" t="inlineStr">
        <is>
          <t>TOP (zielony)</t>
        </is>
      </c>
      <c r="G359" t="inlineStr">
        <is>
          <t>+48 455 500 858</t>
        </is>
      </c>
      <c r="J359" t="inlineStr">
        <is>
          <t>Mysliborska 70</t>
        </is>
      </c>
      <c r="L359" t="inlineStr">
        <is>
          <t>Wlasciciel / Fachowiec</t>
        </is>
      </c>
      <c r="M359" t="n">
        <v>203</v>
      </c>
      <c r="N359" t="n">
        <v>5</v>
      </c>
      <c r="O359" t="inlineStr">
        <is>
          <t>Google Maps</t>
        </is>
      </c>
      <c r="P359" t="inlineStr">
        <is>
          <t>Nowa</t>
        </is>
      </c>
      <c r="S359" t="inlineStr">
        <is>
          <t>[FACHOWIEC - nie klient] Dezynsekcja / deratyzacja. Google Maps: 5 gw. z 203 opinii.</t>
        </is>
      </c>
    </row>
    <row r="360">
      <c r="B360" s="34" t="n">
        <v>46135</v>
      </c>
      <c r="C360" t="inlineStr">
        <is>
          <t>Odpluskwianie Warszawa | Deratyzacja Warszawa | Dezynsekcja Warszawa</t>
        </is>
      </c>
      <c r="D360" t="inlineStr">
        <is>
          <t>Firmy budowlane</t>
        </is>
      </c>
      <c r="E360" t="inlineStr">
        <is>
          <t>TOP (zielony)</t>
        </is>
      </c>
      <c r="G360" t="inlineStr">
        <is>
          <t>+48 512 404 354</t>
        </is>
      </c>
      <c r="J360" t="inlineStr">
        <is>
          <t> · Tadeusza Krepowieckiego 5</t>
        </is>
      </c>
      <c r="L360" t="inlineStr">
        <is>
          <t>Wlasciciel / Fachowiec</t>
        </is>
      </c>
      <c r="M360" t="n">
        <v>221</v>
      </c>
      <c r="N360" t="n">
        <v>5</v>
      </c>
      <c r="O360" t="inlineStr">
        <is>
          <t>Google Maps</t>
        </is>
      </c>
      <c r="P360" t="inlineStr">
        <is>
          <t>Nowa</t>
        </is>
      </c>
      <c r="S360" t="inlineStr">
        <is>
          <t>[FACHOWIEC - nie klient] Dezynsekcja / deratyzacja. Google Maps: 5 gw. z 221 opinii.</t>
        </is>
      </c>
    </row>
    <row r="361">
      <c r="B361" s="34" t="n">
        <v>46135</v>
      </c>
      <c r="C361" t="inlineStr">
        <is>
          <t>sekcja Warszawa | Dezynfekcja | Deratyzacja Warszawa | Odpluskwianie Warszawa | Zwalczanie Karaluchow Warszawa</t>
        </is>
      </c>
      <c r="D361" t="inlineStr">
        <is>
          <t>Firmy budowlane</t>
        </is>
      </c>
      <c r="E361" t="inlineStr">
        <is>
          <t>TOP (zielony)</t>
        </is>
      </c>
      <c r="G361" t="inlineStr">
        <is>
          <t>+48 734 365 473</t>
        </is>
      </c>
      <c r="J361" t="inlineStr">
        <is>
          <t>Walicow 13</t>
        </is>
      </c>
      <c r="L361" t="inlineStr">
        <is>
          <t>Wlasciciel / Fachowiec</t>
        </is>
      </c>
      <c r="M361" t="n">
        <v>33</v>
      </c>
      <c r="N361" t="n">
        <v>4.9</v>
      </c>
      <c r="O361" t="inlineStr">
        <is>
          <t>Google Maps</t>
        </is>
      </c>
      <c r="P361" t="inlineStr">
        <is>
          <t>Nowa</t>
        </is>
      </c>
      <c r="S361" t="inlineStr">
        <is>
          <t>[FACHOWIEC - nie klient] Dezynsekcja / deratyzacja. Google Maps: 4.9 gw. z 33 opinii.</t>
        </is>
      </c>
    </row>
    <row r="362">
      <c r="B362" s="34" t="n">
        <v>46135</v>
      </c>
      <c r="C362" t="inlineStr">
        <is>
          <t>Primesect | dezynsekcja | dezynfekcja | deratyzacja | Warszawa 24/7</t>
        </is>
      </c>
      <c r="D362" t="inlineStr">
        <is>
          <t>Firmy budowlane</t>
        </is>
      </c>
      <c r="E362" t="inlineStr">
        <is>
          <t>TOP (zielony)</t>
        </is>
      </c>
      <c r="G362" t="inlineStr">
        <is>
          <t>+48 787 000 578</t>
        </is>
      </c>
      <c r="J362" t="inlineStr">
        <is>
          <t>Michała Kleofasa Oginskiego 11/9</t>
        </is>
      </c>
      <c r="L362" t="inlineStr">
        <is>
          <t>Wlasciciel / Fachowiec</t>
        </is>
      </c>
      <c r="M362" t="n">
        <v>419</v>
      </c>
      <c r="N362" t="n">
        <v>5</v>
      </c>
      <c r="O362" t="inlineStr">
        <is>
          <t>Google Maps</t>
        </is>
      </c>
      <c r="P362" t="inlineStr">
        <is>
          <t>Nowa</t>
        </is>
      </c>
      <c r="S362" t="inlineStr">
        <is>
          <t>[FACHOWIEC - nie klient] Dezynsekcja / deratyzacja. Google Maps: 5 gw. z 419 opinii.</t>
        </is>
      </c>
    </row>
    <row r="363">
      <c r="B363" s="34" t="n">
        <v>46135</v>
      </c>
      <c r="C363" t="inlineStr">
        <is>
          <t>PRUSATOR Skuteczna Dezynsekcja Warszawa Dezynfekcja Deratyzacja | Odpluskwianie Pluskwy</t>
        </is>
      </c>
      <c r="D363" t="inlineStr">
        <is>
          <t>Firmy budowlane</t>
        </is>
      </c>
      <c r="E363" t="inlineStr">
        <is>
          <t>TOP (zielony)</t>
        </is>
      </c>
      <c r="G363" t="inlineStr">
        <is>
          <t>+48 794 134 000</t>
        </is>
      </c>
      <c r="J363" t="inlineStr">
        <is>
          <t> · al. Jana Pawła II 43A</t>
        </is>
      </c>
      <c r="L363" t="inlineStr">
        <is>
          <t>Wlasciciel / Fachowiec</t>
        </is>
      </c>
      <c r="M363" t="n">
        <v>466</v>
      </c>
      <c r="N363" t="n">
        <v>4.8</v>
      </c>
      <c r="O363" t="inlineStr">
        <is>
          <t>Google Maps</t>
        </is>
      </c>
      <c r="P363" t="inlineStr">
        <is>
          <t>Nowa</t>
        </is>
      </c>
      <c r="S363" t="inlineStr">
        <is>
          <t>[FACHOWIEC - nie klient] Dezynsekcja / deratyzacja. Google Maps: 4.8 gw. z 466 opinii.</t>
        </is>
      </c>
    </row>
    <row r="364">
      <c r="B364" s="34" t="n">
        <v>46135</v>
      </c>
      <c r="C364" t="inlineStr">
        <is>
          <t>DEZPRO | Dezynsekcja Warszawa | Dezynfekcja | Deratyzacja | Odpluskwianie</t>
        </is>
      </c>
      <c r="D364" t="inlineStr">
        <is>
          <t>Firmy budowlane</t>
        </is>
      </c>
      <c r="E364" t="inlineStr">
        <is>
          <t>TOP (zielony)</t>
        </is>
      </c>
      <c r="G364" t="inlineStr">
        <is>
          <t>+48 733 193 000</t>
        </is>
      </c>
      <c r="J364" t="inlineStr">
        <is>
          <t>Nowogrodzka 56A</t>
        </is>
      </c>
      <c r="L364" t="inlineStr">
        <is>
          <t>Wlasciciel / Fachowiec</t>
        </is>
      </c>
      <c r="M364" t="n">
        <v>250</v>
      </c>
      <c r="N364" t="n">
        <v>4.9</v>
      </c>
      <c r="O364" t="inlineStr">
        <is>
          <t>Google Maps</t>
        </is>
      </c>
      <c r="P364" t="inlineStr">
        <is>
          <t>Nowa</t>
        </is>
      </c>
      <c r="S364" t="inlineStr">
        <is>
          <t>[FACHOWIEC - nie klient] Dezynsekcja / deratyzacja. Google Maps: 4.9 gw. z 250 opinii.</t>
        </is>
      </c>
    </row>
    <row r="365">
      <c r="B365" s="34" t="n">
        <v>46135</v>
      </c>
      <c r="C365" t="inlineStr">
        <is>
          <t>Usługi Stolarskie Andrzej Kacprzak</t>
        </is>
      </c>
      <c r="D365" t="inlineStr">
        <is>
          <t>Firmy budowlane</t>
        </is>
      </c>
      <c r="E365" t="inlineStr">
        <is>
          <t>TOP (zielony)</t>
        </is>
      </c>
      <c r="F365" t="inlineStr">
        <is>
          <t>Wola</t>
        </is>
      </c>
      <c r="G365" t="inlineStr">
        <is>
          <t>+48 604 427 541</t>
        </is>
      </c>
      <c r="J365" t="inlineStr">
        <is>
          <t>Goralska 3</t>
        </is>
      </c>
      <c r="L365" t="inlineStr">
        <is>
          <t>Wlasciciel / Fachowiec</t>
        </is>
      </c>
      <c r="M365" t="n">
        <v>40</v>
      </c>
      <c r="N365" t="n">
        <v>4.5</v>
      </c>
      <c r="O365" t="inlineStr">
        <is>
          <t>Google Maps</t>
        </is>
      </c>
      <c r="P365" t="inlineStr">
        <is>
          <t>Nowa</t>
        </is>
      </c>
      <c r="S365" t="inlineStr">
        <is>
          <t>[FACHOWIEC - nie klient] Stolarz. Google Maps: 4.5 gw. z 40 opinii.</t>
        </is>
      </c>
    </row>
    <row r="366">
      <c r="B366" s="34" t="n">
        <v>46135</v>
      </c>
      <c r="C366" t="inlineStr">
        <is>
          <t>Usługi Stolarskie</t>
        </is>
      </c>
      <c r="D366" t="inlineStr">
        <is>
          <t>Firmy budowlane</t>
        </is>
      </c>
      <c r="E366" t="inlineStr">
        <is>
          <t>TOP (zielony)</t>
        </is>
      </c>
      <c r="F366" t="inlineStr">
        <is>
          <t>Wola</t>
        </is>
      </c>
      <c r="G366" t="inlineStr">
        <is>
          <t>+48 22 666 00 81</t>
        </is>
      </c>
      <c r="J366" t="inlineStr">
        <is>
          <t>Powstancow Slaskich 9</t>
        </is>
      </c>
      <c r="L366" t="inlineStr">
        <is>
          <t>Wlasciciel / Fachowiec</t>
        </is>
      </c>
      <c r="M366" t="n">
        <v>23</v>
      </c>
      <c r="N366" t="n">
        <v>4.1</v>
      </c>
      <c r="O366" t="inlineStr">
        <is>
          <t>Google Maps</t>
        </is>
      </c>
      <c r="P366" t="inlineStr">
        <is>
          <t>Nowa</t>
        </is>
      </c>
      <c r="S366" t="inlineStr">
        <is>
          <t>[FACHOWIEC - nie klient] Stolarz. Google Maps: 4.1 gw. z 23 opinii.</t>
        </is>
      </c>
    </row>
    <row r="367">
      <c r="B367" s="34" t="n">
        <v>46135</v>
      </c>
      <c r="C367" t="inlineStr">
        <is>
          <t>Stolarnia i Skład drewna McKapka | Stolarz Warszawa</t>
        </is>
      </c>
      <c r="D367" t="inlineStr">
        <is>
          <t>Firmy budowlane</t>
        </is>
      </c>
      <c r="E367" t="inlineStr">
        <is>
          <t>TOP (zielony)</t>
        </is>
      </c>
      <c r="F367" t="inlineStr">
        <is>
          <t>Wola</t>
        </is>
      </c>
      <c r="G367" t="inlineStr">
        <is>
          <t>+48 793 151 718</t>
        </is>
      </c>
      <c r="J367" t="inlineStr">
        <is>
          <t>Powazkowska 28B</t>
        </is>
      </c>
      <c r="L367" t="inlineStr">
        <is>
          <t>Wlasciciel / Fachowiec</t>
        </is>
      </c>
      <c r="M367" t="n">
        <v>135</v>
      </c>
      <c r="N367" t="n">
        <v>4.5</v>
      </c>
      <c r="O367" t="inlineStr">
        <is>
          <t>Google Maps</t>
        </is>
      </c>
      <c r="P367" t="inlineStr">
        <is>
          <t>Nowa</t>
        </is>
      </c>
      <c r="S367" t="inlineStr">
        <is>
          <t>[FACHOWIEC - nie klient] Stolarz. Google Maps: 4.5 gw. z 135 opinii.</t>
        </is>
      </c>
    </row>
    <row r="368">
      <c r="B368" s="34" t="n">
        <v>46135</v>
      </c>
      <c r="C368" t="inlineStr">
        <is>
          <t>Sklep z drewnem BRATEX - Stolarnia, Stolarz Powazkowska</t>
        </is>
      </c>
      <c r="D368" t="inlineStr">
        <is>
          <t>Firmy budowlane</t>
        </is>
      </c>
      <c r="E368" t="inlineStr">
        <is>
          <t>TOP (zielony)</t>
        </is>
      </c>
      <c r="F368" t="inlineStr">
        <is>
          <t>Wola</t>
        </is>
      </c>
      <c r="G368" t="inlineStr">
        <is>
          <t>+48 666 362 628</t>
        </is>
      </c>
      <c r="J368" t="inlineStr">
        <is>
          <t> · Powazkowska 28</t>
        </is>
      </c>
      <c r="L368" t="inlineStr">
        <is>
          <t>Wlasciciel / Fachowiec</t>
        </is>
      </c>
      <c r="M368" t="n">
        <v>123</v>
      </c>
      <c r="N368" t="n">
        <v>4.6</v>
      </c>
      <c r="O368" t="inlineStr">
        <is>
          <t>Google Maps</t>
        </is>
      </c>
      <c r="P368" t="inlineStr">
        <is>
          <t>Nowa</t>
        </is>
      </c>
      <c r="S368" t="inlineStr">
        <is>
          <t>[FACHOWIEC - nie klient] Stolarz. Google Maps: 4.6 gw. z 123 opinii.</t>
        </is>
      </c>
    </row>
    <row r="369">
      <c r="B369" s="34" t="n">
        <v>46135</v>
      </c>
      <c r="C369" t="inlineStr">
        <is>
          <t>Drestol</t>
        </is>
      </c>
      <c r="D369" t="inlineStr">
        <is>
          <t>Firmy budowlane</t>
        </is>
      </c>
      <c r="E369" t="inlineStr">
        <is>
          <t>Niski (czerwony)</t>
        </is>
      </c>
      <c r="F369" t="inlineStr">
        <is>
          <t>Wola</t>
        </is>
      </c>
      <c r="G369" t="inlineStr">
        <is>
          <t>+48 693 847 696</t>
        </is>
      </c>
      <c r="J369" t="inlineStr">
        <is>
          <t>Skierniewicka 21</t>
        </is>
      </c>
      <c r="L369" t="inlineStr">
        <is>
          <t>Wlasciciel / Fachowiec</t>
        </is>
      </c>
      <c r="M369" t="n">
        <v>1</v>
      </c>
      <c r="N369" t="n">
        <v>5</v>
      </c>
      <c r="O369" t="inlineStr">
        <is>
          <t>Google Maps</t>
        </is>
      </c>
      <c r="P369" t="inlineStr">
        <is>
          <t>Nowa</t>
        </is>
      </c>
      <c r="S369" t="inlineStr">
        <is>
          <t>[FACHOWIEC - nie klient] Stolarz. Google Maps: 5 gw. z 1 opinii.</t>
        </is>
      </c>
    </row>
    <row r="370">
      <c r="B370" s="34" t="n">
        <v>46135</v>
      </c>
      <c r="C370" t="inlineStr">
        <is>
          <t>dobry-spaw</t>
        </is>
      </c>
      <c r="D370" t="inlineStr">
        <is>
          <t>Firmy budowlane</t>
        </is>
      </c>
      <c r="E370" t="inlineStr">
        <is>
          <t>TOP (zielony)</t>
        </is>
      </c>
      <c r="G370" t="inlineStr">
        <is>
          <t>+48 519 836 734</t>
        </is>
      </c>
      <c r="J370" t="inlineStr">
        <is>
          <t>Polskich Skrzydeł 6/61</t>
        </is>
      </c>
      <c r="L370" t="inlineStr">
        <is>
          <t>Wlasciciel / Fachowiec</t>
        </is>
      </c>
      <c r="M370" t="n">
        <v>204</v>
      </c>
      <c r="N370" t="n">
        <v>4.9</v>
      </c>
      <c r="O370" t="inlineStr">
        <is>
          <t>Google Maps</t>
        </is>
      </c>
      <c r="P370" t="inlineStr">
        <is>
          <t>Nowa</t>
        </is>
      </c>
      <c r="S370" t="inlineStr">
        <is>
          <t>[FACHOWIEC - nie klient] Spawacz mobilny. Google Maps: 4.9 gw. z 204 opinii.</t>
        </is>
      </c>
    </row>
    <row r="371">
      <c r="B371" s="34" t="n">
        <v>46135</v>
      </c>
      <c r="C371" t="inlineStr">
        <is>
          <t>d-Spaw.pl - Spawanie aluminium Warszawa, spawanie magnezu, spawanie zeliwa, spawanie metali Warszawa i okolice</t>
        </is>
      </c>
      <c r="D371" t="inlineStr">
        <is>
          <t>Firmy budowlane</t>
        </is>
      </c>
      <c r="E371" t="inlineStr">
        <is>
          <t>TOP (zielony)</t>
        </is>
      </c>
      <c r="G371" t="inlineStr">
        <is>
          <t>+48 515 393 926</t>
        </is>
      </c>
      <c r="J371" t="inlineStr">
        <is>
          <t> · Ignacego Jana Paderewskiego 143</t>
        </is>
      </c>
      <c r="L371" t="inlineStr">
        <is>
          <t>Wlasciciel / Fachowiec</t>
        </is>
      </c>
      <c r="M371" t="n">
        <v>231</v>
      </c>
      <c r="N371" t="n">
        <v>4.8</v>
      </c>
      <c r="O371" t="inlineStr">
        <is>
          <t>Google Maps</t>
        </is>
      </c>
      <c r="P371" t="inlineStr">
        <is>
          <t>Nowa</t>
        </is>
      </c>
      <c r="S371" t="inlineStr">
        <is>
          <t>[FACHOWIEC - nie klient] Spawacz mobilny. Google Maps: 4.8 gw. z 231 opinii.</t>
        </is>
      </c>
    </row>
    <row r="372">
      <c r="B372" s="34" t="n">
        <v>46135</v>
      </c>
      <c r="C372" t="inlineStr">
        <is>
          <t>Weldmag. Antoni Zacharjasiewicz</t>
        </is>
      </c>
      <c r="D372" t="inlineStr">
        <is>
          <t>Firmy budowlane</t>
        </is>
      </c>
      <c r="E372" t="inlineStr">
        <is>
          <t>Sredni (zolty)</t>
        </is>
      </c>
      <c r="G372" t="inlineStr">
        <is>
          <t>+48 507 894 524</t>
        </is>
      </c>
      <c r="J372" t="inlineStr">
        <is>
          <t>Szałwiowa 2</t>
        </is>
      </c>
      <c r="L372" t="inlineStr">
        <is>
          <t>Wlasciciel / Fachowiec</t>
        </is>
      </c>
      <c r="M372" t="n">
        <v>17</v>
      </c>
      <c r="N372" t="n">
        <v>5</v>
      </c>
      <c r="O372" t="inlineStr">
        <is>
          <t>Google Maps</t>
        </is>
      </c>
      <c r="P372" t="inlineStr">
        <is>
          <t>Nowa</t>
        </is>
      </c>
      <c r="S372" t="inlineStr">
        <is>
          <t>[FACHOWIEC - nie klient] Spawacz mobilny. Google Maps: 5 gw. z 17 opinii.</t>
        </is>
      </c>
    </row>
    <row r="373">
      <c r="B373" s="34" t="n">
        <v>46135</v>
      </c>
      <c r="C373" t="inlineStr">
        <is>
          <t>Dar-Spaw. Specjalistyczny Zakład Spawalniczy i Slusarski</t>
        </is>
      </c>
      <c r="D373" t="inlineStr">
        <is>
          <t>Firmy budowlane</t>
        </is>
      </c>
      <c r="E373" t="inlineStr">
        <is>
          <t>TOP (zielony)</t>
        </is>
      </c>
      <c r="G373" t="inlineStr">
        <is>
          <t>+48 602 422 038</t>
        </is>
      </c>
      <c r="J373" t="inlineStr">
        <is>
          <t>Krakowiakow 20</t>
        </is>
      </c>
      <c r="L373" t="inlineStr">
        <is>
          <t>Wlasciciel / Fachowiec</t>
        </is>
      </c>
      <c r="M373" t="n">
        <v>93</v>
      </c>
      <c r="N373" t="n">
        <v>4.8</v>
      </c>
      <c r="O373" t="inlineStr">
        <is>
          <t>Google Maps</t>
        </is>
      </c>
      <c r="P373" t="inlineStr">
        <is>
          <t>Nowa</t>
        </is>
      </c>
      <c r="S373" t="inlineStr">
        <is>
          <t>[FACHOWIEC - nie klient] Spawacz mobilny. Google Maps: 4.8 gw. z 93 opinii.</t>
        </is>
      </c>
    </row>
    <row r="374">
      <c r="B374" s="34" t="n">
        <v>46135</v>
      </c>
      <c r="C374" t="inlineStr">
        <is>
          <t>awalnicza. Usługi Spawalnicze, Spawanie Stali, Spawanie Aluminium. Pogotowie Spawalnicze.Metoda TIG, MIG, MMA.</t>
        </is>
      </c>
      <c r="D374" t="inlineStr">
        <is>
          <t>Firmy budowlane</t>
        </is>
      </c>
      <c r="E374" t="inlineStr">
        <is>
          <t>TOP (zielony)</t>
        </is>
      </c>
      <c r="G374" t="inlineStr">
        <is>
          <t>+48 728 817 884</t>
        </is>
      </c>
      <c r="J374" t="inlineStr">
        <is>
          <t>Poczatkowa 1/7</t>
        </is>
      </c>
      <c r="L374" t="inlineStr">
        <is>
          <t>Wlasciciel / Fachowiec</t>
        </is>
      </c>
      <c r="M374" t="n">
        <v>28</v>
      </c>
      <c r="N374" t="n">
        <v>5</v>
      </c>
      <c r="O374" t="inlineStr">
        <is>
          <t>Google Maps</t>
        </is>
      </c>
      <c r="P374" t="inlineStr">
        <is>
          <t>Nowa</t>
        </is>
      </c>
      <c r="S374" t="inlineStr">
        <is>
          <t>[FACHOWIEC - nie klient] Spawacz mobilny. Google Maps: 5 gw. z 28 opinii.</t>
        </is>
      </c>
    </row>
    <row r="375">
      <c r="B375" s="34" t="n">
        <v>46135</v>
      </c>
      <c r="C375" t="inlineStr">
        <is>
          <t>MOBIL-SPAW HUBERT RZEZNIK</t>
        </is>
      </c>
      <c r="D375" t="inlineStr">
        <is>
          <t>Firmy budowlane</t>
        </is>
      </c>
      <c r="E375" t="inlineStr">
        <is>
          <t>TOP (zielony)</t>
        </is>
      </c>
      <c r="G375" t="inlineStr">
        <is>
          <t>+48 606 399 929</t>
        </is>
      </c>
      <c r="J375" t="inlineStr">
        <is>
          <t>Kazimierza Gierdziejewskiego 5/hala 2</t>
        </is>
      </c>
      <c r="L375" t="inlineStr">
        <is>
          <t>Wlasciciel / Fachowiec</t>
        </is>
      </c>
      <c r="M375" t="n">
        <v>22</v>
      </c>
      <c r="N375" t="n">
        <v>4.5</v>
      </c>
      <c r="O375" t="inlineStr">
        <is>
          <t>Google Maps</t>
        </is>
      </c>
      <c r="P375" t="inlineStr">
        <is>
          <t>Nowa</t>
        </is>
      </c>
      <c r="S375" t="inlineStr">
        <is>
          <t>[FACHOWIEC - nie klient] Spawacz mobilny. Google Maps: 4.5 gw. z 22 opinii.</t>
        </is>
      </c>
    </row>
    <row r="376">
      <c r="B376" s="34" t="n">
        <v>46135</v>
      </c>
      <c r="C376" t="inlineStr">
        <is>
          <t>Naprawa pralek - Zakład elektromechaniczny Michał Jaworek</t>
        </is>
      </c>
      <c r="D376" t="inlineStr">
        <is>
          <t>Firmy budowlane</t>
        </is>
      </c>
      <c r="E376" t="inlineStr">
        <is>
          <t>TOP (zielony)</t>
        </is>
      </c>
      <c r="G376" t="inlineStr">
        <is>
          <t>+48 602 650 755</t>
        </is>
      </c>
      <c r="J376" t="inlineStr">
        <is>
          <t>Racławicka 3</t>
        </is>
      </c>
      <c r="L376" t="inlineStr">
        <is>
          <t>Wlasciciel / Fachowiec</t>
        </is>
      </c>
      <c r="M376" t="n">
        <v>171</v>
      </c>
      <c r="N376" t="n">
        <v>4.8</v>
      </c>
      <c r="O376" t="inlineStr">
        <is>
          <t>Google Maps</t>
        </is>
      </c>
      <c r="P376" t="inlineStr">
        <is>
          <t>Nowa</t>
        </is>
      </c>
      <c r="S376" t="inlineStr">
        <is>
          <t>[FACHOWIEC - nie klient] Naprawa pralek / AGD. Google Maps: 4.8 gw. z 171 opinii.</t>
        </is>
      </c>
    </row>
    <row r="377">
      <c r="B377" s="34" t="n">
        <v>46135</v>
      </c>
      <c r="C377" t="inlineStr">
        <is>
          <t>NajsAGD Naprawa Pralek</t>
        </is>
      </c>
      <c r="D377" t="inlineStr">
        <is>
          <t>Firmy budowlane</t>
        </is>
      </c>
      <c r="E377" t="inlineStr">
        <is>
          <t>TOP (zielony)</t>
        </is>
      </c>
      <c r="G377" t="inlineStr">
        <is>
          <t>+48 881 166 288</t>
        </is>
      </c>
      <c r="J377" t="inlineStr">
        <is>
          <t>Gorczewska 200</t>
        </is>
      </c>
      <c r="L377" t="inlineStr">
        <is>
          <t>Wlasciciel / Fachowiec</t>
        </is>
      </c>
      <c r="M377" t="n">
        <v>37</v>
      </c>
      <c r="N377" t="n">
        <v>5</v>
      </c>
      <c r="O377" t="inlineStr">
        <is>
          <t>Google Maps</t>
        </is>
      </c>
      <c r="P377" t="inlineStr">
        <is>
          <t>Nowa</t>
        </is>
      </c>
      <c r="S377" t="inlineStr">
        <is>
          <t>[FACHOWIEC - nie klient] Naprawa pralek / AGD. Google Maps: 5 gw. z 37 opinii.</t>
        </is>
      </c>
    </row>
    <row r="378">
      <c r="B378" s="34" t="n">
        <v>46135</v>
      </c>
      <c r="C378" t="inlineStr">
        <is>
          <t>Naprawa pralek Jacek Przybysz</t>
        </is>
      </c>
      <c r="D378" t="inlineStr">
        <is>
          <t>Firmy budowlane</t>
        </is>
      </c>
      <c r="E378" t="inlineStr">
        <is>
          <t>TOP (zielony)</t>
        </is>
      </c>
      <c r="G378" t="inlineStr">
        <is>
          <t>+48 506 898 984</t>
        </is>
      </c>
      <c r="J378" t="inlineStr">
        <is>
          <t>Ksiedza Juliana Chroscickiego 40</t>
        </is>
      </c>
      <c r="L378" t="inlineStr">
        <is>
          <t>Wlasciciel / Fachowiec</t>
        </is>
      </c>
      <c r="M378" t="n">
        <v>163</v>
      </c>
      <c r="N378" t="n">
        <v>4.6</v>
      </c>
      <c r="O378" t="inlineStr">
        <is>
          <t>Google Maps</t>
        </is>
      </c>
      <c r="P378" t="inlineStr">
        <is>
          <t>Nowa</t>
        </is>
      </c>
      <c r="S378" t="inlineStr">
        <is>
          <t>[FACHOWIEC - nie klient] Naprawa pralek / AGD. Google Maps: 4.6 gw. z 163 opinii.</t>
        </is>
      </c>
    </row>
    <row r="379">
      <c r="B379" s="34" t="n">
        <v>46135</v>
      </c>
      <c r="C379" t="inlineStr">
        <is>
          <t>Hydraulik Bemowo "NATECH" DARIUSZ CISAK</t>
        </is>
      </c>
      <c r="D379" t="inlineStr">
        <is>
          <t>Firmy budowlane</t>
        </is>
      </c>
      <c r="E379" t="inlineStr">
        <is>
          <t>TOP (zielony)</t>
        </is>
      </c>
      <c r="F379" t="inlineStr">
        <is>
          <t>Bemowo</t>
        </is>
      </c>
      <c r="G379" t="inlineStr">
        <is>
          <t>+48 510 223 666</t>
        </is>
      </c>
      <c r="J379" t="inlineStr">
        <is>
          <t>Narwik 25/46</t>
        </is>
      </c>
      <c r="L379" t="inlineStr">
        <is>
          <t>Wlasciciel / Fachowiec</t>
        </is>
      </c>
      <c r="M379" t="n">
        <v>121</v>
      </c>
      <c r="N379" t="n">
        <v>5</v>
      </c>
      <c r="O379" t="inlineStr">
        <is>
          <t>Google Maps</t>
        </is>
      </c>
      <c r="P379" t="inlineStr">
        <is>
          <t>Nowa</t>
        </is>
      </c>
      <c r="S379" t="inlineStr">
        <is>
          <t>[FACHOWIEC - nie klient] Hydraulik. Google Maps: 5 gw. z 121 opinii.</t>
        </is>
      </c>
    </row>
    <row r="380">
      <c r="B380" s="34" t="n">
        <v>46135</v>
      </c>
      <c r="C380" t="inlineStr">
        <is>
          <t>WUKO Pogotowie Kanalizacyjne i Montaz Instalacji</t>
        </is>
      </c>
      <c r="D380" t="inlineStr">
        <is>
          <t>Firmy budowlane</t>
        </is>
      </c>
      <c r="E380" t="inlineStr">
        <is>
          <t>TOP (zielony)</t>
        </is>
      </c>
      <c r="F380" t="inlineStr">
        <is>
          <t>Bemowo</t>
        </is>
      </c>
      <c r="G380" t="inlineStr">
        <is>
          <t>+48 692 205 583</t>
        </is>
      </c>
      <c r="J380" t="inlineStr">
        <is>
          <t>Okretowa 32</t>
        </is>
      </c>
      <c r="L380" t="inlineStr">
        <is>
          <t>Wlasciciel / Fachowiec</t>
        </is>
      </c>
      <c r="M380" t="n">
        <v>23</v>
      </c>
      <c r="N380" t="n">
        <v>4.5</v>
      </c>
      <c r="O380" t="inlineStr">
        <is>
          <t>Google Maps</t>
        </is>
      </c>
      <c r="P380" t="inlineStr">
        <is>
          <t>Nowa</t>
        </is>
      </c>
      <c r="S380" t="inlineStr">
        <is>
          <t>[FACHOWIEC - nie klient] Hydraulik. Google Maps: 4.5 gw. z 23 opinii.</t>
        </is>
      </c>
    </row>
    <row r="381">
      <c r="B381" s="34" t="n">
        <v>46135</v>
      </c>
      <c r="C381" t="inlineStr">
        <is>
          <t>Usługi hydrauliczne, gazowe i minikoparka Warszawa - Szczelnie.com.pl</t>
        </is>
      </c>
      <c r="D381" t="inlineStr">
        <is>
          <t>Firmy budowlane</t>
        </is>
      </c>
      <c r="E381" t="inlineStr">
        <is>
          <t>Sredni (zolty)</t>
        </is>
      </c>
      <c r="F381" t="inlineStr">
        <is>
          <t>Bemowo</t>
        </is>
      </c>
      <c r="G381" t="inlineStr">
        <is>
          <t>+48 732 807 878</t>
        </is>
      </c>
      <c r="J381" t="inlineStr">
        <is>
          <t>Kluczborska 4/33A</t>
        </is>
      </c>
      <c r="L381" t="inlineStr">
        <is>
          <t>Wlasciciel / Fachowiec</t>
        </is>
      </c>
      <c r="M381" t="n">
        <v>10</v>
      </c>
      <c r="N381" t="n">
        <v>5</v>
      </c>
      <c r="O381" t="inlineStr">
        <is>
          <t>Google Maps</t>
        </is>
      </c>
      <c r="P381" t="inlineStr">
        <is>
          <t>Nowa</t>
        </is>
      </c>
      <c r="S381" t="inlineStr">
        <is>
          <t>[FACHOWIEC - nie klient] Hydraulik. Google Maps: 5 gw. z 10 opinii.</t>
        </is>
      </c>
    </row>
    <row r="382">
      <c r="B382" s="34" t="n">
        <v>46135</v>
      </c>
      <c r="C382" t="inlineStr">
        <is>
          <t>Hydraulik 24h UNI-KAN</t>
        </is>
      </c>
      <c r="D382" t="inlineStr">
        <is>
          <t>Firmy budowlane</t>
        </is>
      </c>
      <c r="E382" t="inlineStr">
        <is>
          <t>TOP (zielony)</t>
        </is>
      </c>
      <c r="F382" t="inlineStr">
        <is>
          <t>Targowek</t>
        </is>
      </c>
      <c r="G382" t="inlineStr">
        <is>
          <t>+48 519 388 100</t>
        </is>
      </c>
      <c r="J382" t="inlineStr">
        <is>
          <t> · Hutnicza 1/3</t>
        </is>
      </c>
      <c r="L382" t="inlineStr">
        <is>
          <t>Wlasciciel / Fachowiec</t>
        </is>
      </c>
      <c r="M382" t="n">
        <v>28</v>
      </c>
      <c r="N382" t="n">
        <v>4.9</v>
      </c>
      <c r="O382" t="inlineStr">
        <is>
          <t>Google Maps</t>
        </is>
      </c>
      <c r="P382" t="inlineStr">
        <is>
          <t>Nowa</t>
        </is>
      </c>
      <c r="S382" t="inlineStr">
        <is>
          <t>[FACHOWIEC - nie klient] Hydraulik. Google Maps: 4.9 gw. z 28 opinii.</t>
        </is>
      </c>
    </row>
    <row r="383">
      <c r="B383" s="34" t="n">
        <v>46135</v>
      </c>
      <c r="C383" t="inlineStr">
        <is>
          <t>Usługi hydrauliczne Marek Nasiłowski</t>
        </is>
      </c>
      <c r="D383" t="inlineStr">
        <is>
          <t>Firmy budowlane</t>
        </is>
      </c>
      <c r="E383" t="inlineStr">
        <is>
          <t>TOP (zielony)</t>
        </is>
      </c>
      <c r="F383" t="inlineStr">
        <is>
          <t>Targowek</t>
        </is>
      </c>
      <c r="G383" t="inlineStr">
        <is>
          <t>+48 797 135 321</t>
        </is>
      </c>
      <c r="J383" t="inlineStr">
        <is>
          <t>Krynoliny 12</t>
        </is>
      </c>
      <c r="L383" t="inlineStr">
        <is>
          <t>Wlasciciel / Fachowiec</t>
        </is>
      </c>
      <c r="M383" t="n">
        <v>34</v>
      </c>
      <c r="N383" t="n">
        <v>4.7</v>
      </c>
      <c r="O383" t="inlineStr">
        <is>
          <t>Google Maps</t>
        </is>
      </c>
      <c r="P383" t="inlineStr">
        <is>
          <t>Nowa</t>
        </is>
      </c>
      <c r="S383" t="inlineStr">
        <is>
          <t>[FACHOWIEC - nie klient] Hydraulik. Google Maps: 4.7 gw. z 34 opinii.</t>
        </is>
      </c>
    </row>
    <row r="384">
      <c r="B384" s="34" t="n">
        <v>46135</v>
      </c>
      <c r="C384" t="inlineStr">
        <is>
          <t>Sidex przepychanie rur Warszawa, udraznianie rur wuko</t>
        </is>
      </c>
      <c r="D384" t="inlineStr">
        <is>
          <t>Firmy budowlane</t>
        </is>
      </c>
      <c r="E384" t="inlineStr">
        <is>
          <t>TOP (zielony)</t>
        </is>
      </c>
      <c r="F384" t="inlineStr">
        <is>
          <t>Targowek</t>
        </is>
      </c>
      <c r="G384" t="inlineStr">
        <is>
          <t>+48 505 921 306</t>
        </is>
      </c>
      <c r="J384" t="inlineStr">
        <is>
          <t>Krasnobrodzka 4/231</t>
        </is>
      </c>
      <c r="L384" t="inlineStr">
        <is>
          <t>Wlasciciel / Fachowiec</t>
        </is>
      </c>
      <c r="M384" t="n">
        <v>124</v>
      </c>
      <c r="N384" t="n">
        <v>5</v>
      </c>
      <c r="O384" t="inlineStr">
        <is>
          <t>Google Maps</t>
        </is>
      </c>
      <c r="P384" t="inlineStr">
        <is>
          <t>Nowa</t>
        </is>
      </c>
      <c r="S384" t="inlineStr">
        <is>
          <t>[FACHOWIEC - nie klient] Hydraulik. Google Maps: 5 gw. z 124 opinii.</t>
        </is>
      </c>
    </row>
    <row r="385">
      <c r="B385" s="34" t="n">
        <v>46135</v>
      </c>
      <c r="C385" t="inlineStr">
        <is>
          <t>anie Rur i Kanalizacji Warszawa | Pogotowie Kanalizacyjne WUKO Warszawa | Usługi Hydrauliczne | Przemychamy.pl</t>
        </is>
      </c>
      <c r="D385" t="inlineStr">
        <is>
          <t>Firmy budowlane</t>
        </is>
      </c>
      <c r="E385" t="inlineStr">
        <is>
          <t>TOP (zielony)</t>
        </is>
      </c>
      <c r="F385" t="inlineStr">
        <is>
          <t>Targowek</t>
        </is>
      </c>
      <c r="G385" t="inlineStr">
        <is>
          <t>+48 453 522 173</t>
        </is>
      </c>
      <c r="J385" t="inlineStr">
        <is>
          <t>sw. Wincentego 112</t>
        </is>
      </c>
      <c r="L385" t="inlineStr">
        <is>
          <t>Wlasciciel / Fachowiec</t>
        </is>
      </c>
      <c r="M385" t="n">
        <v>53</v>
      </c>
      <c r="N385" t="n">
        <v>5</v>
      </c>
      <c r="O385" t="inlineStr">
        <is>
          <t>Google Maps</t>
        </is>
      </c>
      <c r="P385" t="inlineStr">
        <is>
          <t>Nowa</t>
        </is>
      </c>
      <c r="S385" t="inlineStr">
        <is>
          <t>[FACHOWIEC - nie klient] Hydraulik. Google Maps: 5 gw. z 53 opinii.</t>
        </is>
      </c>
    </row>
    <row r="386">
      <c r="B386" s="34" t="n">
        <v>46135</v>
      </c>
      <c r="C386" t="inlineStr">
        <is>
          <t>Услуги сантехника Варшава aquarini.pl</t>
        </is>
      </c>
      <c r="D386" t="inlineStr">
        <is>
          <t>Firmy budowlane</t>
        </is>
      </c>
      <c r="E386" t="inlineStr">
        <is>
          <t>TOP (zielony)</t>
        </is>
      </c>
      <c r="F386" t="inlineStr">
        <is>
          <t>Targowek</t>
        </is>
      </c>
      <c r="G386" t="inlineStr">
        <is>
          <t>+48 452 883 370</t>
        </is>
      </c>
      <c r="J386" t="inlineStr">
        <is>
          <t>Julianowska 26</t>
        </is>
      </c>
      <c r="L386" t="inlineStr">
        <is>
          <t>Wlasciciel / Fachowiec</t>
        </is>
      </c>
      <c r="M386" t="n">
        <v>116</v>
      </c>
      <c r="N386" t="n">
        <v>5</v>
      </c>
      <c r="O386" t="inlineStr">
        <is>
          <t>Google Maps</t>
        </is>
      </c>
      <c r="P386" t="inlineStr">
        <is>
          <t>Nowa</t>
        </is>
      </c>
      <c r="S386" t="inlineStr">
        <is>
          <t>[FACHOWIEC - nie klient] Hydraulik. Google Maps: 5 gw. z 116 opinii.</t>
        </is>
      </c>
    </row>
    <row r="387">
      <c r="B387" s="34" t="n">
        <v>46135</v>
      </c>
      <c r="C387" t="inlineStr">
        <is>
          <t>Hydraulik Warszawa Włochy HydroKlimaTech</t>
        </is>
      </c>
      <c r="D387" t="inlineStr">
        <is>
          <t>Firmy budowlane</t>
        </is>
      </c>
      <c r="E387" t="inlineStr">
        <is>
          <t>TOP (zielony)</t>
        </is>
      </c>
      <c r="F387" t="inlineStr">
        <is>
          <t>Wlochy</t>
        </is>
      </c>
      <c r="G387" t="inlineStr">
        <is>
          <t>+48 502 548 975</t>
        </is>
      </c>
      <c r="J387" t="inlineStr">
        <is>
          <t>Budki Szczesliwickie 17</t>
        </is>
      </c>
      <c r="L387" t="inlineStr">
        <is>
          <t>Wlasciciel / Fachowiec</t>
        </is>
      </c>
      <c r="M387" t="n">
        <v>37</v>
      </c>
      <c r="N387" t="n">
        <v>5</v>
      </c>
      <c r="O387" t="inlineStr">
        <is>
          <t>Google Maps</t>
        </is>
      </c>
      <c r="P387" t="inlineStr">
        <is>
          <t>Nowa</t>
        </is>
      </c>
      <c r="S387" t="inlineStr">
        <is>
          <t>[FACHOWIEC - nie klient] Hydraulik. Google Maps: 5 gw. z 37 opinii.</t>
        </is>
      </c>
    </row>
    <row r="388">
      <c r="B388" s="34" t="n">
        <v>46135</v>
      </c>
      <c r="C388" t="inlineStr">
        <is>
          <t>Heating Systems | hydraulik, usługi gazownicze</t>
        </is>
      </c>
      <c r="D388" t="inlineStr">
        <is>
          <t>Firmy budowlane</t>
        </is>
      </c>
      <c r="E388" t="inlineStr">
        <is>
          <t>TOP (zielony)</t>
        </is>
      </c>
      <c r="F388" t="inlineStr">
        <is>
          <t>Wlochy</t>
        </is>
      </c>
      <c r="G388" t="inlineStr">
        <is>
          <t>+48 536 505 505</t>
        </is>
      </c>
      <c r="J388" t="inlineStr">
        <is>
          <t>Wiosny Ludow 59A</t>
        </is>
      </c>
      <c r="L388" t="inlineStr">
        <is>
          <t>Wlasciciel / Fachowiec</t>
        </is>
      </c>
      <c r="M388" t="n">
        <v>43</v>
      </c>
      <c r="N388" t="n">
        <v>4</v>
      </c>
      <c r="O388" t="inlineStr">
        <is>
          <t>Google Maps</t>
        </is>
      </c>
      <c r="P388" t="inlineStr">
        <is>
          <t>Nowa</t>
        </is>
      </c>
      <c r="S388" t="inlineStr">
        <is>
          <t>[FACHOWIEC - nie klient] Hydraulik. Google Maps: 4 gw. z 43 opinii.</t>
        </is>
      </c>
    </row>
    <row r="389">
      <c r="B389" s="34" t="n">
        <v>46135</v>
      </c>
      <c r="C389" t="inlineStr">
        <is>
          <t>HYDROSZTUKA Usługi hydrauliczne Dawid Budnik</t>
        </is>
      </c>
      <c r="D389" t="inlineStr">
        <is>
          <t>Firmy budowlane</t>
        </is>
      </c>
      <c r="E389" t="inlineStr">
        <is>
          <t>TOP (zielony)</t>
        </is>
      </c>
      <c r="F389" t="inlineStr">
        <is>
          <t>Wlochy</t>
        </is>
      </c>
      <c r="G389" t="inlineStr">
        <is>
          <t>+48 796 187 976</t>
        </is>
      </c>
      <c r="J389" t="inlineStr">
        <is>
          <t>Dzieci Warszawy 17C/34</t>
        </is>
      </c>
      <c r="L389" t="inlineStr">
        <is>
          <t>Wlasciciel / Fachowiec</t>
        </is>
      </c>
      <c r="M389" t="n">
        <v>73</v>
      </c>
      <c r="N389" t="n">
        <v>4.9</v>
      </c>
      <c r="O389" t="inlineStr">
        <is>
          <t>Google Maps</t>
        </is>
      </c>
      <c r="P389" t="inlineStr">
        <is>
          <t>Nowa</t>
        </is>
      </c>
      <c r="S389" t="inlineStr">
        <is>
          <t>[FACHOWIEC - nie klient] Hydraulik. Google Maps: 4.9 gw. z 73 opinii.</t>
        </is>
      </c>
    </row>
    <row r="390">
      <c r="B390" s="34" t="n">
        <v>46135</v>
      </c>
      <c r="C390" t="inlineStr">
        <is>
          <t>Sklep Hydrauliczny Warszawa – kotły gazowe, podgrzewacze, instalacje grzewcze</t>
        </is>
      </c>
      <c r="D390" t="inlineStr">
        <is>
          <t>Firmy budowlane</t>
        </is>
      </c>
      <c r="E390" t="inlineStr">
        <is>
          <t>TOP (zielony)</t>
        </is>
      </c>
      <c r="F390" t="inlineStr">
        <is>
          <t>Wlochy</t>
        </is>
      </c>
      <c r="G390" t="inlineStr">
        <is>
          <t>+48 508 106 134</t>
        </is>
      </c>
      <c r="J390" t="inlineStr">
        <is>
          <t>Potazowa 45</t>
        </is>
      </c>
      <c r="L390" t="inlineStr">
        <is>
          <t>Wlasciciel / Fachowiec</t>
        </is>
      </c>
      <c r="M390" t="n">
        <v>48</v>
      </c>
      <c r="N390" t="n">
        <v>4.8</v>
      </c>
      <c r="O390" t="inlineStr">
        <is>
          <t>Google Maps</t>
        </is>
      </c>
      <c r="P390" t="inlineStr">
        <is>
          <t>Nowa</t>
        </is>
      </c>
      <c r="S390" t="inlineStr">
        <is>
          <t>[FACHOWIEC - nie klient] Hydraulik. Google Maps: 4.8 gw. z 48 opinii.</t>
        </is>
      </c>
    </row>
    <row r="391">
      <c r="B391" s="34" t="n">
        <v>46135</v>
      </c>
      <c r="C391" t="inlineStr">
        <is>
          <t>🆘 24na7 Hydraulik 🛠️</t>
        </is>
      </c>
      <c r="D391" t="inlineStr">
        <is>
          <t>Firmy budowlane</t>
        </is>
      </c>
      <c r="E391" t="inlineStr">
        <is>
          <t>Sredni (zolty)</t>
        </is>
      </c>
      <c r="F391" t="inlineStr">
        <is>
          <t>Wlochy</t>
        </is>
      </c>
      <c r="G391" t="inlineStr">
        <is>
          <t>+48 451 567 629</t>
        </is>
      </c>
      <c r="J391" t="inlineStr">
        <is>
          <t>Karola Taylora 2</t>
        </is>
      </c>
      <c r="L391" t="inlineStr">
        <is>
          <t>Wlasciciel / Fachowiec</t>
        </is>
      </c>
      <c r="M391" t="n">
        <v>9</v>
      </c>
      <c r="N391" t="n">
        <v>4.1</v>
      </c>
      <c r="O391" t="inlineStr">
        <is>
          <t>Google Maps</t>
        </is>
      </c>
      <c r="P391" t="inlineStr">
        <is>
          <t>Nowa</t>
        </is>
      </c>
      <c r="S391" t="inlineStr">
        <is>
          <t>[FACHOWIEC - nie klient] Hydraulik. Google Maps: 4.1 gw. z 9 opinii.</t>
        </is>
      </c>
    </row>
    <row r="392">
      <c r="B392" s="34" t="n">
        <v>46135</v>
      </c>
      <c r="C392" t="inlineStr">
        <is>
          <t>ZOTOSERWIS</t>
        </is>
      </c>
      <c r="D392" t="inlineStr">
        <is>
          <t>Firmy budowlane</t>
        </is>
      </c>
      <c r="E392" t="inlineStr">
        <is>
          <t>Sredni (zolty)</t>
        </is>
      </c>
      <c r="F392" t="inlineStr">
        <is>
          <t>Wlochy</t>
        </is>
      </c>
      <c r="G392" t="inlineStr">
        <is>
          <t>+48 536 000 077</t>
        </is>
      </c>
      <c r="J392" t="inlineStr">
        <is>
          <t>Pilchowicka 7</t>
        </is>
      </c>
      <c r="L392" t="inlineStr">
        <is>
          <t>Wlasciciel / Fachowiec</t>
        </is>
      </c>
      <c r="M392" t="n">
        <v>5</v>
      </c>
      <c r="N392" t="n">
        <v>5</v>
      </c>
      <c r="O392" t="inlineStr">
        <is>
          <t>Google Maps</t>
        </is>
      </c>
      <c r="P392" t="inlineStr">
        <is>
          <t>Nowa</t>
        </is>
      </c>
      <c r="S392" t="inlineStr">
        <is>
          <t>[FACHOWIEC - nie klient] Hydraulik. Google Maps: 5 gw. z 5 opinii.</t>
        </is>
      </c>
    </row>
    <row r="393">
      <c r="B393" s="34" t="n">
        <v>46135</v>
      </c>
      <c r="C393" t="inlineStr">
        <is>
          <t>Andrzej Tarasiuk</t>
        </is>
      </c>
      <c r="D393" t="inlineStr">
        <is>
          <t>Firmy budowlane</t>
        </is>
      </c>
      <c r="E393" t="inlineStr">
        <is>
          <t>TOP (zielony)</t>
        </is>
      </c>
      <c r="F393" t="inlineStr">
        <is>
          <t>Wawer</t>
        </is>
      </c>
      <c r="G393" t="inlineStr">
        <is>
          <t>+48 507 015 027</t>
        </is>
      </c>
      <c r="J393" t="inlineStr">
        <is>
          <t>Patriotow 24</t>
        </is>
      </c>
      <c r="L393" t="inlineStr">
        <is>
          <t>Wlasciciel / Fachowiec</t>
        </is>
      </c>
      <c r="M393" t="n">
        <v>47</v>
      </c>
      <c r="N393" t="n">
        <v>4.2</v>
      </c>
      <c r="O393" t="inlineStr">
        <is>
          <t>Google Maps</t>
        </is>
      </c>
      <c r="P393" t="inlineStr">
        <is>
          <t>Nowa</t>
        </is>
      </c>
      <c r="S393" t="inlineStr">
        <is>
          <t>[FACHOWIEC - nie klient] Hydraulik. Google Maps: 4.2 gw. z 47 opinii.</t>
        </is>
      </c>
    </row>
    <row r="394">
      <c r="B394" s="34" t="n">
        <v>46135</v>
      </c>
      <c r="C394" t="inlineStr">
        <is>
          <t>Aqua-Thermal Warszawa</t>
        </is>
      </c>
      <c r="D394" t="inlineStr">
        <is>
          <t>Firmy budowlane</t>
        </is>
      </c>
      <c r="E394" t="inlineStr">
        <is>
          <t>Sredni (zolty)</t>
        </is>
      </c>
      <c r="F394" t="inlineStr">
        <is>
          <t>Wawer</t>
        </is>
      </c>
      <c r="G394" t="inlineStr">
        <is>
          <t>+48 794 910 940</t>
        </is>
      </c>
      <c r="J394" t="inlineStr">
        <is>
          <t>Korkowa 161</t>
        </is>
      </c>
      <c r="L394" t="inlineStr">
        <is>
          <t>Wlasciciel / Fachowiec</t>
        </is>
      </c>
      <c r="M394" t="n">
        <v>7</v>
      </c>
      <c r="N394" t="n">
        <v>5</v>
      </c>
      <c r="O394" t="inlineStr">
        <is>
          <t>Google Maps</t>
        </is>
      </c>
      <c r="P394" t="inlineStr">
        <is>
          <t>Nowa</t>
        </is>
      </c>
      <c r="S394" t="inlineStr">
        <is>
          <t>[FACHOWIEC - nie klient] Hydraulik. Google Maps: 5 gw. z 7 opinii.</t>
        </is>
      </c>
    </row>
    <row r="395">
      <c r="B395" s="34" t="n">
        <v>46135</v>
      </c>
      <c r="C395" t="inlineStr">
        <is>
          <t>InstalHydroMax</t>
        </is>
      </c>
      <c r="D395" t="inlineStr">
        <is>
          <t>Firmy budowlane</t>
        </is>
      </c>
      <c r="E395" t="inlineStr">
        <is>
          <t>TOP (zielony)</t>
        </is>
      </c>
      <c r="F395" t="inlineStr">
        <is>
          <t>Wawer</t>
        </is>
      </c>
      <c r="G395" t="inlineStr">
        <is>
          <t>+48 536 483 601</t>
        </is>
      </c>
      <c r="J395" t="inlineStr">
        <is>
          <t>Starego Doktora</t>
        </is>
      </c>
      <c r="L395" t="inlineStr">
        <is>
          <t>Wlasciciel / Fachowiec</t>
        </is>
      </c>
      <c r="M395" t="n">
        <v>68</v>
      </c>
      <c r="N395" t="n">
        <v>5</v>
      </c>
      <c r="O395" t="inlineStr">
        <is>
          <t>Google Maps</t>
        </is>
      </c>
      <c r="P395" t="inlineStr">
        <is>
          <t>Nowa</t>
        </is>
      </c>
      <c r="S395" t="inlineStr">
        <is>
          <t>[FACHOWIEC - nie klient] Hydraulik. Google Maps: 5 gw. z 68 opinii.</t>
        </is>
      </c>
    </row>
    <row r="396">
      <c r="B396" s="34" t="n">
        <v>46135</v>
      </c>
      <c r="C396" t="inlineStr">
        <is>
          <t>AMB Usługi Hydrauliczne - Hydraulik Warszawa 24h</t>
        </is>
      </c>
      <c r="D396" t="inlineStr">
        <is>
          <t>Firmy budowlane</t>
        </is>
      </c>
      <c r="E396" t="inlineStr">
        <is>
          <t>Sredni (zolty)</t>
        </is>
      </c>
      <c r="F396" t="inlineStr">
        <is>
          <t>Wawer</t>
        </is>
      </c>
      <c r="G396" t="inlineStr">
        <is>
          <t>+48 727 323 424</t>
        </is>
      </c>
      <c r="J396" t="inlineStr">
        <is>
          <t>Krola Maciusia 13A</t>
        </is>
      </c>
      <c r="L396" t="inlineStr">
        <is>
          <t>Wlasciciel / Fachowiec</t>
        </is>
      </c>
      <c r="M396" t="n">
        <v>8</v>
      </c>
      <c r="N396" t="n">
        <v>5</v>
      </c>
      <c r="O396" t="inlineStr">
        <is>
          <t>Google Maps</t>
        </is>
      </c>
      <c r="P396" t="inlineStr">
        <is>
          <t>Nowa</t>
        </is>
      </c>
      <c r="S396" t="inlineStr">
        <is>
          <t>[FACHOWIEC - nie klient] Hydraulik. Google Maps: 5 gw. z 8 opinii.</t>
        </is>
      </c>
    </row>
    <row r="397">
      <c r="B397" s="34" t="n">
        <v>46135</v>
      </c>
      <c r="C397" t="inlineStr">
        <is>
          <t>🙂 Sebastian Hydraulik Warszawa | Pogotowie Hydrauliczne</t>
        </is>
      </c>
      <c r="D397" t="inlineStr">
        <is>
          <t>Firmy budowlane</t>
        </is>
      </c>
      <c r="E397" t="inlineStr">
        <is>
          <t>Sredni (zolty)</t>
        </is>
      </c>
      <c r="F397" t="inlineStr">
        <is>
          <t>Praga-Polnoc</t>
        </is>
      </c>
      <c r="G397" t="inlineStr">
        <is>
          <t>+48 696 063 232</t>
        </is>
      </c>
      <c r="J397" t="inlineStr">
        <is>
          <t>Karola Szymanowskiego 7</t>
        </is>
      </c>
      <c r="L397" t="inlineStr">
        <is>
          <t>Wlasciciel / Fachowiec</t>
        </is>
      </c>
      <c r="M397" t="n">
        <v>12</v>
      </c>
      <c r="N397" t="n">
        <v>4</v>
      </c>
      <c r="O397" t="inlineStr">
        <is>
          <t>Google Maps</t>
        </is>
      </c>
      <c r="P397" t="inlineStr">
        <is>
          <t>Nowa</t>
        </is>
      </c>
      <c r="S397" t="inlineStr">
        <is>
          <t>[FACHOWIEC - nie klient] Hydraulik. Google Maps: 4 gw. z 12 opinii.</t>
        </is>
      </c>
    </row>
    <row r="398">
      <c r="B398" s="34" t="n">
        <v>46135</v>
      </c>
      <c r="C398" t="inlineStr">
        <is>
          <t xml:space="preserve"> Hydraulik Elektryk Złota Raczka - Praga Bemowo Targowek Srodmiescie Mokotow Wola Włochy Ochota Ursus Zoliborz</t>
        </is>
      </c>
      <c r="D398" t="inlineStr">
        <is>
          <t>Firmy budowlane</t>
        </is>
      </c>
      <c r="E398" t="inlineStr">
        <is>
          <t>TOP (zielony)</t>
        </is>
      </c>
      <c r="F398" t="inlineStr">
        <is>
          <t>Praga-Polnoc</t>
        </is>
      </c>
      <c r="G398" t="inlineStr">
        <is>
          <t>+48 730 610 905</t>
        </is>
      </c>
      <c r="J398" t="inlineStr">
        <is>
          <t>Namysłowska 3</t>
        </is>
      </c>
      <c r="L398" t="inlineStr">
        <is>
          <t>Wlasciciel / Fachowiec</t>
        </is>
      </c>
      <c r="M398" t="n">
        <v>25</v>
      </c>
      <c r="N398" t="n">
        <v>5</v>
      </c>
      <c r="O398" t="inlineStr">
        <is>
          <t>Google Maps</t>
        </is>
      </c>
      <c r="P398" t="inlineStr">
        <is>
          <t>Nowa</t>
        </is>
      </c>
      <c r="S398" t="inlineStr">
        <is>
          <t>[FACHOWIEC - nie klient] Hydraulik. Google Maps: 5 gw. z 25 opinii.</t>
        </is>
      </c>
    </row>
    <row r="399">
      <c r="B399" s="34" t="n">
        <v>46135</v>
      </c>
      <c r="C399" t="inlineStr">
        <is>
          <t>Usługi hydrauliczne, elektryczne - Alfa-Hydro</t>
        </is>
      </c>
      <c r="D399" t="inlineStr">
        <is>
          <t>Firmy budowlane</t>
        </is>
      </c>
      <c r="E399" t="inlineStr">
        <is>
          <t>Sredni (zolty)</t>
        </is>
      </c>
      <c r="F399" t="inlineStr">
        <is>
          <t>Praga-Polnoc</t>
        </is>
      </c>
      <c r="G399" t="inlineStr">
        <is>
          <t>+48 513 361 665</t>
        </is>
      </c>
      <c r="J399" t="inlineStr">
        <is>
          <t>Kowienska 8/7</t>
        </is>
      </c>
      <c r="L399" t="inlineStr">
        <is>
          <t>Wlasciciel / Fachowiec</t>
        </is>
      </c>
      <c r="M399" t="n">
        <v>6</v>
      </c>
      <c r="N399" t="n">
        <v>5</v>
      </c>
      <c r="O399" t="inlineStr">
        <is>
          <t>Google Maps</t>
        </is>
      </c>
      <c r="P399" t="inlineStr">
        <is>
          <t>Nowa</t>
        </is>
      </c>
      <c r="S399" t="inlineStr">
        <is>
          <t>[FACHOWIEC - nie klient] Hydraulik. Google Maps: 5 gw. z 6 opinii.</t>
        </is>
      </c>
    </row>
    <row r="400">
      <c r="B400" s="34" t="n">
        <v>46135</v>
      </c>
      <c r="C400" t="inlineStr">
        <is>
          <t>Oprawa Obrazow i Luster</t>
        </is>
      </c>
      <c r="D400" t="inlineStr">
        <is>
          <t>Firmy budowlane</t>
        </is>
      </c>
      <c r="E400" t="inlineStr">
        <is>
          <t>TOP (zielony)</t>
        </is>
      </c>
      <c r="F400" t="inlineStr">
        <is>
          <t>Ursynow</t>
        </is>
      </c>
      <c r="G400" t="inlineStr">
        <is>
          <t>+48 538 538 261</t>
        </is>
      </c>
      <c r="J400" t="inlineStr">
        <is>
          <t> · Bociania 28</t>
        </is>
      </c>
      <c r="L400" t="inlineStr">
        <is>
          <t>Wlasciciel / Fachowiec</t>
        </is>
      </c>
      <c r="M400" t="n">
        <v>138</v>
      </c>
      <c r="N400" t="n">
        <v>4.9</v>
      </c>
      <c r="O400" t="inlineStr">
        <is>
          <t>Google Maps</t>
        </is>
      </c>
      <c r="P400" t="inlineStr">
        <is>
          <t>Nowa</t>
        </is>
      </c>
      <c r="S400" t="inlineStr">
        <is>
          <t>[FACHOWIEC - nie klient] Malarz. Google Maps: 4.9 gw. z 138 opinii.</t>
        </is>
      </c>
    </row>
    <row r="401">
      <c r="B401" s="34" t="n">
        <v>46135</v>
      </c>
      <c r="C401" t="inlineStr">
        <is>
          <t>MALUJE.PL</t>
        </is>
      </c>
      <c r="D401" t="inlineStr">
        <is>
          <t>Firmy budowlane</t>
        </is>
      </c>
      <c r="E401" t="inlineStr">
        <is>
          <t>TOP (zielony)</t>
        </is>
      </c>
      <c r="F401" t="inlineStr">
        <is>
          <t>Ursynow</t>
        </is>
      </c>
      <c r="G401" t="inlineStr">
        <is>
          <t>+48 22 644 01 17</t>
        </is>
      </c>
      <c r="J401" t="inlineStr">
        <is>
          <t> · Hawajska 19</t>
        </is>
      </c>
      <c r="L401" t="inlineStr">
        <is>
          <t>Wlasciciel / Fachowiec</t>
        </is>
      </c>
      <c r="M401" t="n">
        <v>800</v>
      </c>
      <c r="N401" t="n">
        <v>4.8</v>
      </c>
      <c r="O401" t="inlineStr">
        <is>
          <t>Google Maps</t>
        </is>
      </c>
      <c r="P401" t="inlineStr">
        <is>
          <t>Nowa</t>
        </is>
      </c>
      <c r="S401" t="inlineStr">
        <is>
          <t>[FACHOWIEC - nie klient] Malarz. Google Maps: 4.8 gw. z 800 opinii.</t>
        </is>
      </c>
    </row>
    <row r="402">
      <c r="B402" s="34" t="n">
        <v>46135</v>
      </c>
      <c r="C402" t="inlineStr">
        <is>
          <t>TULEYA | GaleriaArt.pl</t>
        </is>
      </c>
      <c r="D402" t="inlineStr">
        <is>
          <t>Firmy budowlane</t>
        </is>
      </c>
      <c r="E402" t="inlineStr">
        <is>
          <t>TOP (zielony)</t>
        </is>
      </c>
      <c r="F402" t="inlineStr">
        <is>
          <t>Srodmiescie</t>
        </is>
      </c>
      <c r="G402" t="inlineStr">
        <is>
          <t>+48 501 394 342</t>
        </is>
      </c>
      <c r="J402" t="inlineStr">
        <is>
          <t> · Bednarska 14</t>
        </is>
      </c>
      <c r="L402" t="inlineStr">
        <is>
          <t>Wlasciciel / Fachowiec</t>
        </is>
      </c>
      <c r="M402" t="n">
        <v>115</v>
      </c>
      <c r="N402" t="n">
        <v>4.6</v>
      </c>
      <c r="O402" t="inlineStr">
        <is>
          <t>Google Maps</t>
        </is>
      </c>
      <c r="P402" t="inlineStr">
        <is>
          <t>Nowa</t>
        </is>
      </c>
      <c r="S402" t="inlineStr">
        <is>
          <t>[FACHOWIEC - nie klient] Malarz. Google Maps: 4.6 gw. z 115 opinii.</t>
        </is>
      </c>
    </row>
    <row r="403">
      <c r="B403" s="34" t="n">
        <v>46135</v>
      </c>
      <c r="C403" t="inlineStr">
        <is>
          <t>Galeria Sztuki Katarzyny Napiorkowskiej Sp. z o.o.</t>
        </is>
      </c>
      <c r="D403" t="inlineStr">
        <is>
          <t>Firmy budowlane</t>
        </is>
      </c>
      <c r="E403" t="inlineStr">
        <is>
          <t>TOP (zielony)</t>
        </is>
      </c>
      <c r="F403" t="inlineStr">
        <is>
          <t>Srodmiescie</t>
        </is>
      </c>
      <c r="G403" t="inlineStr">
        <is>
          <t>+48 22 652 11 77</t>
        </is>
      </c>
      <c r="J403" t="inlineStr">
        <is>
          <t> · Swietokrzyska 32</t>
        </is>
      </c>
      <c r="L403" t="inlineStr">
        <is>
          <t>Wlasciciel / Fachowiec</t>
        </is>
      </c>
      <c r="M403" t="n">
        <v>69</v>
      </c>
      <c r="N403" t="n">
        <v>4.2</v>
      </c>
      <c r="O403" t="inlineStr">
        <is>
          <t>Google Maps</t>
        </is>
      </c>
      <c r="P403" t="inlineStr">
        <is>
          <t>Nowa</t>
        </is>
      </c>
      <c r="S403" t="inlineStr">
        <is>
          <t>[FACHOWIEC - nie klient] Malarz. Google Maps: 4.2 gw. z 69 opinii.</t>
        </is>
      </c>
    </row>
    <row r="404">
      <c r="B404" s="34" t="n">
        <v>46135</v>
      </c>
      <c r="C404" t="inlineStr">
        <is>
          <t>Galeria Grafiki i Plakatu</t>
        </is>
      </c>
      <c r="D404" t="inlineStr">
        <is>
          <t>Firmy budowlane</t>
        </is>
      </c>
      <c r="E404" t="inlineStr">
        <is>
          <t>TOP (zielony)</t>
        </is>
      </c>
      <c r="F404" t="inlineStr">
        <is>
          <t>Srodmiescie</t>
        </is>
      </c>
      <c r="G404" t="inlineStr">
        <is>
          <t>+48 22 621 40 77</t>
        </is>
      </c>
      <c r="J404" t="inlineStr">
        <is>
          <t>Hoza 40</t>
        </is>
      </c>
      <c r="L404" t="inlineStr">
        <is>
          <t>Wlasciciel / Fachowiec</t>
        </is>
      </c>
      <c r="M404" t="n">
        <v>76</v>
      </c>
      <c r="N404" t="n">
        <v>4.5</v>
      </c>
      <c r="O404" t="inlineStr">
        <is>
          <t>Google Maps</t>
        </is>
      </c>
      <c r="P404" t="inlineStr">
        <is>
          <t>Nowa</t>
        </is>
      </c>
      <c r="S404" t="inlineStr">
        <is>
          <t>[FACHOWIEC - nie klient] Malarz. Google Maps: 4.5 gw. z 76 opinii.</t>
        </is>
      </c>
    </row>
    <row r="405">
      <c r="B405" s="34" t="n">
        <v>46135</v>
      </c>
      <c r="C405" t="inlineStr">
        <is>
          <t>Sealart Szkoła Rysunku i Malarstwa</t>
        </is>
      </c>
      <c r="D405" t="inlineStr">
        <is>
          <t>Firmy budowlane</t>
        </is>
      </c>
      <c r="E405" t="inlineStr">
        <is>
          <t>TOP (zielony)</t>
        </is>
      </c>
      <c r="F405" t="inlineStr">
        <is>
          <t>Bielany</t>
        </is>
      </c>
      <c r="G405" t="inlineStr">
        <is>
          <t>+48 794 583 843</t>
        </is>
      </c>
      <c r="J405" t="inlineStr">
        <is>
          <t>Wolczynska 55</t>
        </is>
      </c>
      <c r="L405" t="inlineStr">
        <is>
          <t>Wlasciciel / Fachowiec</t>
        </is>
      </c>
      <c r="M405" t="n">
        <v>339</v>
      </c>
      <c r="N405" t="n">
        <v>4.8</v>
      </c>
      <c r="O405" t="inlineStr">
        <is>
          <t>Google Maps</t>
        </is>
      </c>
      <c r="P405" t="inlineStr">
        <is>
          <t>Nowa</t>
        </is>
      </c>
      <c r="S405" t="inlineStr">
        <is>
          <t>[FACHOWIEC - nie klient] Malarz. Google Maps: 4.8 gw. z 339 opinii.</t>
        </is>
      </c>
    </row>
    <row r="406">
      <c r="B406" s="34" t="n">
        <v>46135</v>
      </c>
      <c r="C406" t="inlineStr">
        <is>
          <t>PRZYKLEJAM ADRIAN ZALIWSKI - TAPETOWANIE WARSZAWA</t>
        </is>
      </c>
      <c r="D406" t="inlineStr">
        <is>
          <t>Firmy budowlane</t>
        </is>
      </c>
      <c r="E406" t="inlineStr">
        <is>
          <t>TOP (zielony)</t>
        </is>
      </c>
      <c r="F406" t="inlineStr">
        <is>
          <t>Bielany</t>
        </is>
      </c>
      <c r="G406" t="inlineStr">
        <is>
          <t>+48 515 650 860</t>
        </is>
      </c>
      <c r="J406" t="inlineStr">
        <is>
          <t>Przy Agorze 8</t>
        </is>
      </c>
      <c r="L406" t="inlineStr">
        <is>
          <t>Wlasciciel / Fachowiec</t>
        </is>
      </c>
      <c r="M406" t="n">
        <v>36</v>
      </c>
      <c r="N406" t="n">
        <v>5</v>
      </c>
      <c r="O406" t="inlineStr">
        <is>
          <t>Google Maps</t>
        </is>
      </c>
      <c r="P406" t="inlineStr">
        <is>
          <t>Nowa</t>
        </is>
      </c>
      <c r="S406" t="inlineStr">
        <is>
          <t>[FACHOWIEC - nie klient] Malarz. Google Maps: 5 gw. z 36 opinii.</t>
        </is>
      </c>
    </row>
    <row r="407">
      <c r="B407" s="34" t="n">
        <v>46135</v>
      </c>
      <c r="C407" t="inlineStr">
        <is>
          <t>AwesomeBlossomArt</t>
        </is>
      </c>
      <c r="D407" t="inlineStr">
        <is>
          <t>Firmy budowlane</t>
        </is>
      </c>
      <c r="E407" t="inlineStr">
        <is>
          <t>Niski (czerwony)</t>
        </is>
      </c>
      <c r="F407" t="inlineStr">
        <is>
          <t>Bielany</t>
        </is>
      </c>
      <c r="G407" t="inlineStr">
        <is>
          <t>+48 606 227 032</t>
        </is>
      </c>
      <c r="J407" t="inlineStr">
        <is>
          <t>Sokratesa 5</t>
        </is>
      </c>
      <c r="L407" t="inlineStr">
        <is>
          <t>Wlasciciel / Fachowiec</t>
        </is>
      </c>
      <c r="M407" t="n">
        <v>3</v>
      </c>
      <c r="N407" t="n">
        <v>5</v>
      </c>
      <c r="O407" t="inlineStr">
        <is>
          <t>Google Maps</t>
        </is>
      </c>
      <c r="P407" t="inlineStr">
        <is>
          <t>Nowa</t>
        </is>
      </c>
      <c r="S407" t="inlineStr">
        <is>
          <t>[FACHOWIEC - nie klient] Malarz. Google Maps: 5 gw. z 3 opinii.</t>
        </is>
      </c>
    </row>
    <row r="408">
      <c r="B408" s="34" t="n">
        <v>46135</v>
      </c>
      <c r="C408" t="inlineStr">
        <is>
          <t>"CLIMA POLSKA" sp. z o.o.</t>
        </is>
      </c>
      <c r="D408" t="inlineStr">
        <is>
          <t>Firmy budowlane</t>
        </is>
      </c>
      <c r="E408" t="inlineStr">
        <is>
          <t>TOP (zielony)</t>
        </is>
      </c>
      <c r="F408" t="inlineStr">
        <is>
          <t>Ursynow</t>
        </is>
      </c>
      <c r="G408" t="inlineStr">
        <is>
          <t>+48 733 051 944</t>
        </is>
      </c>
      <c r="J408" t="inlineStr">
        <is>
          <t>Aleja Komisji Edukacji Narodowej 90/lok.u-7</t>
        </is>
      </c>
      <c r="L408" t="inlineStr">
        <is>
          <t>Wlasciciel / Fachowiec</t>
        </is>
      </c>
      <c r="M408" t="n">
        <v>165</v>
      </c>
      <c r="N408" t="n">
        <v>4.6</v>
      </c>
      <c r="O408" t="inlineStr">
        <is>
          <t>Google Maps</t>
        </is>
      </c>
      <c r="P408" t="inlineStr">
        <is>
          <t>Nowa</t>
        </is>
      </c>
      <c r="S408" t="inlineStr">
        <is>
          <t>[FACHOWIEC - nie klient] Klimatyzacja / wentylacja. Google Maps: 4.6 gw. z 165 opinii.</t>
        </is>
      </c>
    </row>
    <row r="409">
      <c r="B409" s="34" t="n">
        <v>46135</v>
      </c>
      <c r="C409" t="inlineStr">
        <is>
          <t>Clima Projekt Agnieszka Gadziała Klimatyzacja Warszawa</t>
        </is>
      </c>
      <c r="D409" t="inlineStr">
        <is>
          <t>Firmy budowlane</t>
        </is>
      </c>
      <c r="E409" t="inlineStr">
        <is>
          <t>TOP (zielony)</t>
        </is>
      </c>
      <c r="F409" t="inlineStr">
        <is>
          <t>Ursynow</t>
        </is>
      </c>
      <c r="G409" t="inlineStr">
        <is>
          <t>+48 608 128 330</t>
        </is>
      </c>
      <c r="J409" t="inlineStr">
        <is>
          <t>Kłobucka 23B</t>
        </is>
      </c>
      <c r="L409" t="inlineStr">
        <is>
          <t>Wlasciciel / Fachowiec</t>
        </is>
      </c>
      <c r="M409" t="n">
        <v>259</v>
      </c>
      <c r="N409" t="n">
        <v>4.9</v>
      </c>
      <c r="O409" t="inlineStr">
        <is>
          <t>Google Maps</t>
        </is>
      </c>
      <c r="P409" t="inlineStr">
        <is>
          <t>Nowa</t>
        </is>
      </c>
      <c r="S409" t="inlineStr">
        <is>
          <t>[FACHOWIEC - nie klient] Klimatyzacja / wentylacja. Google Maps: 4.9 gw. z 259 opinii.</t>
        </is>
      </c>
    </row>
    <row r="410">
      <c r="B410" s="34" t="n">
        <v>46135</v>
      </c>
      <c r="C410" t="inlineStr">
        <is>
          <t>Simply KLIMA</t>
        </is>
      </c>
      <c r="D410" t="inlineStr">
        <is>
          <t>Firmy budowlane</t>
        </is>
      </c>
      <c r="E410" t="inlineStr">
        <is>
          <t>TOP (zielony)</t>
        </is>
      </c>
      <c r="F410" t="inlineStr">
        <is>
          <t>Ursynow</t>
        </is>
      </c>
      <c r="G410" t="inlineStr">
        <is>
          <t>+48 787 777 727</t>
        </is>
      </c>
      <c r="J410" t="inlineStr">
        <is>
          <t>Ferdynanda Magellana 12/53</t>
        </is>
      </c>
      <c r="L410" t="inlineStr">
        <is>
          <t>Wlasciciel / Fachowiec</t>
        </is>
      </c>
      <c r="M410" t="n">
        <v>29</v>
      </c>
      <c r="N410" t="n">
        <v>4.8</v>
      </c>
      <c r="O410" t="inlineStr">
        <is>
          <t>Google Maps</t>
        </is>
      </c>
      <c r="P410" t="inlineStr">
        <is>
          <t>Nowa</t>
        </is>
      </c>
      <c r="S410" t="inlineStr">
        <is>
          <t>[FACHOWIEC - nie klient] Klimatyzacja / wentylacja. Google Maps: 4.8 gw. z 29 opinii.</t>
        </is>
      </c>
    </row>
    <row r="411">
      <c r="B411" s="34" t="n">
        <v>46135</v>
      </c>
      <c r="C411" t="inlineStr">
        <is>
          <t>SysCon Klimatyzacja - Sprzedaz , montaz , serwis</t>
        </is>
      </c>
      <c r="D411" t="inlineStr">
        <is>
          <t>Firmy budowlane</t>
        </is>
      </c>
      <c r="E411" t="inlineStr">
        <is>
          <t>TOP (zielony)</t>
        </is>
      </c>
      <c r="F411" t="inlineStr">
        <is>
          <t>Ursynow</t>
        </is>
      </c>
      <c r="G411" t="inlineStr">
        <is>
          <t>+48 735 083 229</t>
        </is>
      </c>
      <c r="J411" t="inlineStr">
        <is>
          <t>Witolda Małcuzynskiego 7/18</t>
        </is>
      </c>
      <c r="L411" t="inlineStr">
        <is>
          <t>Wlasciciel / Fachowiec</t>
        </is>
      </c>
      <c r="M411" t="n">
        <v>64</v>
      </c>
      <c r="N411" t="n">
        <v>5</v>
      </c>
      <c r="O411" t="inlineStr">
        <is>
          <t>Google Maps</t>
        </is>
      </c>
      <c r="P411" t="inlineStr">
        <is>
          <t>Nowa</t>
        </is>
      </c>
      <c r="S411" t="inlineStr">
        <is>
          <t>[FACHOWIEC - nie klient] Klimatyzacja / wentylacja. Google Maps: 5 gw. z 64 opinii.</t>
        </is>
      </c>
    </row>
    <row r="412">
      <c r="B412" s="34" t="n">
        <v>46135</v>
      </c>
      <c r="C412" t="inlineStr">
        <is>
          <t>Klimat PLUS</t>
        </is>
      </c>
      <c r="D412" t="inlineStr">
        <is>
          <t>Firmy budowlane</t>
        </is>
      </c>
      <c r="E412" t="inlineStr">
        <is>
          <t>TOP (zielony)</t>
        </is>
      </c>
      <c r="F412" t="inlineStr">
        <is>
          <t>Ursynow</t>
        </is>
      </c>
      <c r="G412" t="inlineStr">
        <is>
          <t>+48 609 285 862</t>
        </is>
      </c>
      <c r="J412" t="inlineStr">
        <is>
          <t>Stefana Dembego 10</t>
        </is>
      </c>
      <c r="L412" t="inlineStr">
        <is>
          <t>Wlasciciel / Fachowiec</t>
        </is>
      </c>
      <c r="M412" t="n">
        <v>20</v>
      </c>
      <c r="N412" t="n">
        <v>4.9</v>
      </c>
      <c r="O412" t="inlineStr">
        <is>
          <t>Google Maps</t>
        </is>
      </c>
      <c r="P412" t="inlineStr">
        <is>
          <t>Nowa</t>
        </is>
      </c>
      <c r="S412" t="inlineStr">
        <is>
          <t>[FACHOWIEC - nie klient] Klimatyzacja / wentylacja. Google Maps: 4.9 gw. z 20 opinii.</t>
        </is>
      </c>
    </row>
    <row r="413">
      <c r="B413" s="34" t="n">
        <v>46135</v>
      </c>
      <c r="C413" t="inlineStr">
        <is>
          <t>UD Klimatyzacja Warszawa. Naprawa Serwis Montaz klimatyzacji do domu i biura Gree Mitsubishi Daikin LG Samsung</t>
        </is>
      </c>
      <c r="D413" t="inlineStr">
        <is>
          <t>Firmy budowlane</t>
        </is>
      </c>
      <c r="E413" t="inlineStr">
        <is>
          <t>TOP (zielony)</t>
        </is>
      </c>
      <c r="F413" t="inlineStr">
        <is>
          <t>Praga-Poludnie</t>
        </is>
      </c>
      <c r="G413" t="inlineStr">
        <is>
          <t>+48 697 030 315</t>
        </is>
      </c>
      <c r="J413" t="inlineStr">
        <is>
          <t>Beskidzka 14/9</t>
        </is>
      </c>
      <c r="L413" t="inlineStr">
        <is>
          <t>Wlasciciel / Fachowiec</t>
        </is>
      </c>
      <c r="M413" t="n">
        <v>119</v>
      </c>
      <c r="N413" t="n">
        <v>4.9</v>
      </c>
      <c r="O413" t="inlineStr">
        <is>
          <t>Google Maps</t>
        </is>
      </c>
      <c r="P413" t="inlineStr">
        <is>
          <t>Nowa</t>
        </is>
      </c>
      <c r="S413" t="inlineStr">
        <is>
          <t>[FACHOWIEC - nie klient] Klimatyzacja / wentylacja. Google Maps: 4.9 gw. z 119 opinii.</t>
        </is>
      </c>
    </row>
    <row r="414">
      <c r="B414" s="34" t="n">
        <v>46135</v>
      </c>
      <c r="C414" t="inlineStr">
        <is>
          <t>ChłodnyKomfort Klimatyzacja</t>
        </is>
      </c>
      <c r="D414" t="inlineStr">
        <is>
          <t>Firmy budowlane</t>
        </is>
      </c>
      <c r="E414" t="inlineStr">
        <is>
          <t>TOP (zielony)</t>
        </is>
      </c>
      <c r="F414" t="inlineStr">
        <is>
          <t>Praga-Poludnie</t>
        </is>
      </c>
      <c r="G414" t="inlineStr">
        <is>
          <t>+48 888 288 775</t>
        </is>
      </c>
      <c r="J414" t="inlineStr">
        <is>
          <t>Drwecka 10/47</t>
        </is>
      </c>
      <c r="L414" t="inlineStr">
        <is>
          <t>Wlasciciel / Fachowiec</t>
        </is>
      </c>
      <c r="M414" t="n">
        <v>84</v>
      </c>
      <c r="N414" t="n">
        <v>5</v>
      </c>
      <c r="O414" t="inlineStr">
        <is>
          <t>Google Maps</t>
        </is>
      </c>
      <c r="P414" t="inlineStr">
        <is>
          <t>Nowa</t>
        </is>
      </c>
      <c r="S414" t="inlineStr">
        <is>
          <t>[FACHOWIEC - nie klient] Klimatyzacja / wentylacja. Google Maps: 5 gw. z 84 opinii.</t>
        </is>
      </c>
    </row>
    <row r="415">
      <c r="B415" s="34" t="n">
        <v>46135</v>
      </c>
      <c r="C415" t="inlineStr">
        <is>
          <t>Frost Me - klimatyzacja, wentylacja, rekuperacja, pompy ciepła</t>
        </is>
      </c>
      <c r="D415" t="inlineStr">
        <is>
          <t>Firmy budowlane</t>
        </is>
      </c>
      <c r="E415" t="inlineStr">
        <is>
          <t>Sredni (zolty)</t>
        </is>
      </c>
      <c r="F415" t="inlineStr">
        <is>
          <t>Praga-Poludnie</t>
        </is>
      </c>
      <c r="G415" t="inlineStr">
        <is>
          <t>+48 693 414 122</t>
        </is>
      </c>
      <c r="J415" t="inlineStr">
        <is>
          <t>Grochowska 186/40</t>
        </is>
      </c>
      <c r="L415" t="inlineStr">
        <is>
          <t>Wlasciciel / Fachowiec</t>
        </is>
      </c>
      <c r="M415" t="n">
        <v>18</v>
      </c>
      <c r="N415" t="n">
        <v>5</v>
      </c>
      <c r="O415" t="inlineStr">
        <is>
          <t>Google Maps</t>
        </is>
      </c>
      <c r="P415" t="inlineStr">
        <is>
          <t>Nowa</t>
        </is>
      </c>
      <c r="S415" t="inlineStr">
        <is>
          <t>[FACHOWIEC - nie klient] Klimatyzacja / wentylacja. Google Maps: 5 gw. z 18 opinii.</t>
        </is>
      </c>
    </row>
    <row r="416">
      <c r="B416" s="34" t="n">
        <v>46135</v>
      </c>
      <c r="C416" t="inlineStr">
        <is>
          <t>Klimatix</t>
        </is>
      </c>
      <c r="D416" t="inlineStr">
        <is>
          <t>Firmy budowlane</t>
        </is>
      </c>
      <c r="E416" t="inlineStr">
        <is>
          <t>Sredni (zolty)</t>
        </is>
      </c>
      <c r="F416" t="inlineStr">
        <is>
          <t>Praga-Poludnie</t>
        </is>
      </c>
      <c r="G416" t="inlineStr">
        <is>
          <t>+48 664 971 016</t>
        </is>
      </c>
      <c r="J416" t="inlineStr">
        <is>
          <t>Ludwika Kickiego 4a</t>
        </is>
      </c>
      <c r="L416" t="inlineStr">
        <is>
          <t>Wlasciciel / Fachowiec</t>
        </is>
      </c>
      <c r="M416" t="n">
        <v>17</v>
      </c>
      <c r="N416" t="n">
        <v>5</v>
      </c>
      <c r="O416" t="inlineStr">
        <is>
          <t>Google Maps</t>
        </is>
      </c>
      <c r="P416" t="inlineStr">
        <is>
          <t>Nowa</t>
        </is>
      </c>
      <c r="S416" t="inlineStr">
        <is>
          <t>[FACHOWIEC - nie klient] Klimatyzacja / wentylacja. Google Maps: 5 gw. z 17 opinii.</t>
        </is>
      </c>
    </row>
    <row r="417">
      <c r="B417" s="34" t="n">
        <v>46135</v>
      </c>
      <c r="C417" t="inlineStr">
        <is>
          <t>Fachowiec od Klimatyzacji</t>
        </is>
      </c>
      <c r="D417" t="inlineStr">
        <is>
          <t>Firmy budowlane</t>
        </is>
      </c>
      <c r="E417" t="inlineStr">
        <is>
          <t>TOP (zielony)</t>
        </is>
      </c>
      <c r="F417" t="inlineStr">
        <is>
          <t>Praga-Poludnie</t>
        </is>
      </c>
      <c r="G417" t="inlineStr">
        <is>
          <t>+48 507 507 816</t>
        </is>
      </c>
      <c r="J417" t="inlineStr">
        <is>
          <t>Strzelecka 44/60</t>
        </is>
      </c>
      <c r="L417" t="inlineStr">
        <is>
          <t>Wlasciciel / Fachowiec</t>
        </is>
      </c>
      <c r="M417" t="n">
        <v>249</v>
      </c>
      <c r="N417" t="n">
        <v>4.9</v>
      </c>
      <c r="O417" t="inlineStr">
        <is>
          <t>Google Maps</t>
        </is>
      </c>
      <c r="P417" t="inlineStr">
        <is>
          <t>Nowa</t>
        </is>
      </c>
      <c r="S417" t="inlineStr">
        <is>
          <t>[FACHOWIEC - nie klient] Klimatyzacja / wentylacja. Google Maps: 4.9 gw. z 249 opinii.</t>
        </is>
      </c>
    </row>
    <row r="418">
      <c r="B418" s="34" t="n">
        <v>46135</v>
      </c>
      <c r="C418" t="inlineStr">
        <is>
          <t>Klima-Therm Sp. z o.o.</t>
        </is>
      </c>
      <c r="D418" t="inlineStr">
        <is>
          <t>Firmy budowlane</t>
        </is>
      </c>
      <c r="E418" t="inlineStr">
        <is>
          <t>Sredni (zolty)</t>
        </is>
      </c>
      <c r="F418" t="inlineStr">
        <is>
          <t>Praga-Poludnie</t>
        </is>
      </c>
      <c r="G418" t="inlineStr">
        <is>
          <t>+48 22 517 36 00</t>
        </is>
      </c>
      <c r="J418" t="inlineStr">
        <is>
          <t>Ostrobramska 101A</t>
        </is>
      </c>
      <c r="L418" t="inlineStr">
        <is>
          <t>Wlasciciel / Fachowiec</t>
        </is>
      </c>
      <c r="M418" t="n">
        <v>33</v>
      </c>
      <c r="N418" t="n">
        <v>3.8</v>
      </c>
      <c r="O418" t="inlineStr">
        <is>
          <t>Google Maps</t>
        </is>
      </c>
      <c r="P418" t="inlineStr">
        <is>
          <t>Nowa</t>
        </is>
      </c>
      <c r="S418" t="inlineStr">
        <is>
          <t>[FACHOWIEC - nie klient] Klimatyzacja / wentylacja. Google Maps: 3.8 gw. z 33 opinii.</t>
        </is>
      </c>
    </row>
    <row r="419">
      <c r="B419" s="34" t="n">
        <v>46135</v>
      </c>
      <c r="C419" t="inlineStr">
        <is>
          <t>Klima Praga | Klimatyzacja Warszawa montaz klimatyzacji</t>
        </is>
      </c>
      <c r="D419" t="inlineStr">
        <is>
          <t>Firmy budowlane</t>
        </is>
      </c>
      <c r="E419" t="inlineStr">
        <is>
          <t>TOP (zielony)</t>
        </is>
      </c>
      <c r="F419" t="inlineStr">
        <is>
          <t>Praga-Poludnie</t>
        </is>
      </c>
      <c r="G419" t="inlineStr">
        <is>
          <t>+48 690 558 576</t>
        </is>
      </c>
      <c r="J419" t="inlineStr">
        <is>
          <t>Zupnicza 24</t>
        </is>
      </c>
      <c r="L419" t="inlineStr">
        <is>
          <t>Wlasciciel / Fachowiec</t>
        </is>
      </c>
      <c r="M419" t="n">
        <v>38</v>
      </c>
      <c r="N419" t="n">
        <v>5</v>
      </c>
      <c r="O419" t="inlineStr">
        <is>
          <t>Google Maps</t>
        </is>
      </c>
      <c r="P419" t="inlineStr">
        <is>
          <t>Nowa</t>
        </is>
      </c>
      <c r="S419" t="inlineStr">
        <is>
          <t>[FACHOWIEC - nie klient] Klimatyzacja / wentylacja. Google Maps: 5 gw. z 38 opinii.</t>
        </is>
      </c>
    </row>
    <row r="420">
      <c r="B420" s="34" t="n">
        <v>46135</v>
      </c>
      <c r="C420" t="inlineStr">
        <is>
          <t>Klimamika</t>
        </is>
      </c>
      <c r="D420" t="inlineStr">
        <is>
          <t>Firmy budowlane</t>
        </is>
      </c>
      <c r="E420" t="inlineStr">
        <is>
          <t>TOP (zielony)</t>
        </is>
      </c>
      <c r="F420" t="inlineStr">
        <is>
          <t>Bialoleka</t>
        </is>
      </c>
      <c r="G420" t="inlineStr">
        <is>
          <t>+48 694 301 307</t>
        </is>
      </c>
      <c r="J420" t="inlineStr">
        <is>
          <t>Zdziarska 57A</t>
        </is>
      </c>
      <c r="L420" t="inlineStr">
        <is>
          <t>Wlasciciel / Fachowiec</t>
        </is>
      </c>
      <c r="M420" t="n">
        <v>187</v>
      </c>
      <c r="N420" t="n">
        <v>4.9</v>
      </c>
      <c r="O420" t="inlineStr">
        <is>
          <t>Google Maps</t>
        </is>
      </c>
      <c r="P420" t="inlineStr">
        <is>
          <t>Nowa</t>
        </is>
      </c>
      <c r="S420" t="inlineStr">
        <is>
          <t>[FACHOWIEC - nie klient] Klimatyzacja / wentylacja. Google Maps: 4.9 gw. z 187 opinii.</t>
        </is>
      </c>
    </row>
    <row r="421">
      <c r="B421" s="34" t="n">
        <v>46135</v>
      </c>
      <c r="C421" t="inlineStr">
        <is>
          <t>Tworzymy Instalacje | Klimatyzacja Rekuperacja Pompy Ciepła Ogrzewanie Podłogowe</t>
        </is>
      </c>
      <c r="D421" t="inlineStr">
        <is>
          <t>Firmy budowlane</t>
        </is>
      </c>
      <c r="E421" t="inlineStr">
        <is>
          <t>TOP (zielony)</t>
        </is>
      </c>
      <c r="F421" t="inlineStr">
        <is>
          <t>Bialoleka</t>
        </is>
      </c>
      <c r="G421" t="inlineStr">
        <is>
          <t>+48 785 135 085</t>
        </is>
      </c>
      <c r="J421" t="inlineStr">
        <is>
          <t>Erazma z Zakroczymia 8</t>
        </is>
      </c>
      <c r="L421" t="inlineStr">
        <is>
          <t>Wlasciciel / Fachowiec</t>
        </is>
      </c>
      <c r="M421" t="n">
        <v>76</v>
      </c>
      <c r="N421" t="n">
        <v>4.9</v>
      </c>
      <c r="O421" t="inlineStr">
        <is>
          <t>Google Maps</t>
        </is>
      </c>
      <c r="P421" t="inlineStr">
        <is>
          <t>Nowa</t>
        </is>
      </c>
      <c r="S421" t="inlineStr">
        <is>
          <t>[FACHOWIEC - nie klient] Klimatyzacja / wentylacja. Google Maps: 4.9 gw. z 76 opinii.</t>
        </is>
      </c>
    </row>
    <row r="422">
      <c r="B422" s="34" t="n">
        <v>46135</v>
      </c>
      <c r="C422" t="inlineStr">
        <is>
          <t>Artcool - Klimatyzacja, montaz, serwis, wentylacja, rekuperacja</t>
        </is>
      </c>
      <c r="D422" t="inlineStr">
        <is>
          <t>Firmy budowlane</t>
        </is>
      </c>
      <c r="E422" t="inlineStr">
        <is>
          <t>TOP (zielony)</t>
        </is>
      </c>
      <c r="F422" t="inlineStr">
        <is>
          <t>Bialoleka</t>
        </is>
      </c>
      <c r="G422" t="inlineStr">
        <is>
          <t>+48 535 095 915</t>
        </is>
      </c>
      <c r="J422" t="inlineStr">
        <is>
          <t>Skarbka z Gor 23/3</t>
        </is>
      </c>
      <c r="L422" t="inlineStr">
        <is>
          <t>Wlasciciel / Fachowiec</t>
        </is>
      </c>
      <c r="M422" t="n">
        <v>40</v>
      </c>
      <c r="N422" t="n">
        <v>5</v>
      </c>
      <c r="O422" t="inlineStr">
        <is>
          <t>Google Maps</t>
        </is>
      </c>
      <c r="P422" t="inlineStr">
        <is>
          <t>Nowa</t>
        </is>
      </c>
      <c r="S422" t="inlineStr">
        <is>
          <t>[FACHOWIEC - nie klient] Klimatyzacja / wentylacja. Google Maps: 5 gw. z 40 opinii.</t>
        </is>
      </c>
    </row>
    <row r="423">
      <c r="B423" s="34" t="n">
        <v>46135</v>
      </c>
      <c r="C423" t="inlineStr">
        <is>
          <t>ULTRA-CAR</t>
        </is>
      </c>
      <c r="D423" t="inlineStr">
        <is>
          <t>Firmy budowlane</t>
        </is>
      </c>
      <c r="E423" t="inlineStr">
        <is>
          <t>TOP (zielony)</t>
        </is>
      </c>
      <c r="F423" t="inlineStr">
        <is>
          <t>Bialoleka</t>
        </is>
      </c>
      <c r="G423" t="inlineStr">
        <is>
          <t>+48 602 342 400</t>
        </is>
      </c>
      <c r="J423" t="inlineStr">
        <is>
          <t> · Modlinska 330B</t>
        </is>
      </c>
      <c r="L423" t="inlineStr">
        <is>
          <t>Wlasciciel / Fachowiec</t>
        </is>
      </c>
      <c r="M423" t="n">
        <v>288</v>
      </c>
      <c r="N423" t="n">
        <v>4.9</v>
      </c>
      <c r="O423" t="inlineStr">
        <is>
          <t>Google Maps</t>
        </is>
      </c>
      <c r="P423" t="inlineStr">
        <is>
          <t>Nowa</t>
        </is>
      </c>
      <c r="S423" t="inlineStr">
        <is>
          <t>[FACHOWIEC - nie klient] Klimatyzacja / wentylacja. Google Maps: 4.9 gw. z 288 opinii.</t>
        </is>
      </c>
    </row>
    <row r="424">
      <c r="B424" s="34" t="n">
        <v>46135</v>
      </c>
      <c r="C424" t="inlineStr">
        <is>
          <t>MiKlima</t>
        </is>
      </c>
      <c r="D424" t="inlineStr">
        <is>
          <t>Firmy budowlane</t>
        </is>
      </c>
      <c r="E424" t="inlineStr">
        <is>
          <t>TOP (zielony)</t>
        </is>
      </c>
      <c r="F424" t="inlineStr">
        <is>
          <t>Bialoleka</t>
        </is>
      </c>
      <c r="G424" t="inlineStr">
        <is>
          <t>+48 515 790 590</t>
        </is>
      </c>
      <c r="J424" t="inlineStr">
        <is>
          <t>Majolikowa 25C</t>
        </is>
      </c>
      <c r="L424" t="inlineStr">
        <is>
          <t>Wlasciciel / Fachowiec</t>
        </is>
      </c>
      <c r="M424" t="n">
        <v>31</v>
      </c>
      <c r="N424" t="n">
        <v>4.9</v>
      </c>
      <c r="O424" t="inlineStr">
        <is>
          <t>Google Maps</t>
        </is>
      </c>
      <c r="P424" t="inlineStr">
        <is>
          <t>Nowa</t>
        </is>
      </c>
      <c r="S424" t="inlineStr">
        <is>
          <t>[FACHOWIEC - nie klient] Klimatyzacja / wentylacja. Google Maps: 4.9 gw. z 31 opinii.</t>
        </is>
      </c>
    </row>
    <row r="425">
      <c r="B425" s="34" t="n">
        <v>46135</v>
      </c>
      <c r="C425" t="inlineStr">
        <is>
          <t>POLAR KLIMA</t>
        </is>
      </c>
      <c r="D425" t="inlineStr">
        <is>
          <t>Firmy budowlane</t>
        </is>
      </c>
      <c r="E425" t="inlineStr">
        <is>
          <t>TOP (zielony)</t>
        </is>
      </c>
      <c r="F425" t="inlineStr">
        <is>
          <t>Bialoleka</t>
        </is>
      </c>
      <c r="G425" t="inlineStr">
        <is>
          <t>+48 534 207 990</t>
        </is>
      </c>
      <c r="J425" t="inlineStr">
        <is>
          <t>Rossiniego 3</t>
        </is>
      </c>
      <c r="L425" t="inlineStr">
        <is>
          <t>Wlasciciel / Fachowiec</t>
        </is>
      </c>
      <c r="M425" t="n">
        <v>22</v>
      </c>
      <c r="N425" t="n">
        <v>5</v>
      </c>
      <c r="O425" t="inlineStr">
        <is>
          <t>Google Maps</t>
        </is>
      </c>
      <c r="P425" t="inlineStr">
        <is>
          <t>Nowa</t>
        </is>
      </c>
      <c r="S425" t="inlineStr">
        <is>
          <t>[FACHOWIEC - nie klient] Klimatyzacja / wentylacja. Google Maps: 5 gw. z 22 opinii.</t>
        </is>
      </c>
    </row>
    <row r="426">
      <c r="B426" s="34" t="n">
        <v>46135</v>
      </c>
      <c r="C426" t="inlineStr">
        <is>
          <t>Climactive - montaz i serwis klimatyzacji</t>
        </is>
      </c>
      <c r="D426" t="inlineStr">
        <is>
          <t>Firmy budowlane</t>
        </is>
      </c>
      <c r="E426" t="inlineStr">
        <is>
          <t>TOP (zielony)</t>
        </is>
      </c>
      <c r="F426" t="inlineStr">
        <is>
          <t>Bialoleka</t>
        </is>
      </c>
      <c r="G426" t="inlineStr">
        <is>
          <t>+48 516 440 755</t>
        </is>
      </c>
      <c r="J426" t="inlineStr">
        <is>
          <t>Mysliborska 70A/41</t>
        </is>
      </c>
      <c r="L426" t="inlineStr">
        <is>
          <t>Wlasciciel / Fachowiec</t>
        </is>
      </c>
      <c r="M426" t="n">
        <v>45</v>
      </c>
      <c r="N426" t="n">
        <v>5</v>
      </c>
      <c r="O426" t="inlineStr">
        <is>
          <t>Google Maps</t>
        </is>
      </c>
      <c r="P426" t="inlineStr">
        <is>
          <t>Nowa</t>
        </is>
      </c>
      <c r="S426" t="inlineStr">
        <is>
          <t>[FACHOWIEC - nie klient] Klimatyzacja / wentylacja. Google Maps: 5 gw. z 45 opinii.</t>
        </is>
      </c>
    </row>
    <row r="427">
      <c r="B427" s="34" t="n">
        <v>46135</v>
      </c>
      <c r="C427" t="inlineStr">
        <is>
          <t>BARTINI MEBLE S.C.</t>
        </is>
      </c>
      <c r="D427" t="inlineStr">
        <is>
          <t>Firmy budowlane</t>
        </is>
      </c>
      <c r="E427" t="inlineStr">
        <is>
          <t>Sredni (zolty)</t>
        </is>
      </c>
      <c r="F427" t="inlineStr">
        <is>
          <t>Bielany</t>
        </is>
      </c>
      <c r="G427" t="inlineStr">
        <is>
          <t>+48 508 108 170</t>
        </is>
      </c>
      <c r="J427" t="inlineStr">
        <is>
          <t>BRAMA nr 3 budynek nr 6, Wolczynska 133/lokal 67/ biuro lokal 348</t>
        </is>
      </c>
      <c r="L427" t="inlineStr">
        <is>
          <t>Wlasciciel / Fachowiec</t>
        </is>
      </c>
      <c r="M427" t="n">
        <v>13</v>
      </c>
      <c r="N427" t="n">
        <v>5</v>
      </c>
      <c r="O427" t="inlineStr">
        <is>
          <t>Google Maps</t>
        </is>
      </c>
      <c r="P427" t="inlineStr">
        <is>
          <t>Nowa</t>
        </is>
      </c>
      <c r="S427" t="inlineStr">
        <is>
          <t>[FACHOWIEC - nie klient] Stolarz. Google Maps: 5 gw. z 13 opinii.</t>
        </is>
      </c>
    </row>
    <row r="428">
      <c r="B428" s="34" t="n">
        <v>46135</v>
      </c>
      <c r="C428" t="inlineStr">
        <is>
          <t>Stolarnia Jawoja</t>
        </is>
      </c>
      <c r="D428" t="inlineStr">
        <is>
          <t>Firmy budowlane</t>
        </is>
      </c>
      <c r="E428" t="inlineStr">
        <is>
          <t>Sredni (zolty)</t>
        </is>
      </c>
      <c r="F428" t="inlineStr">
        <is>
          <t>Bielany</t>
        </is>
      </c>
      <c r="G428" t="inlineStr">
        <is>
          <t>+48 784 139 931</t>
        </is>
      </c>
      <c r="J428" t="inlineStr">
        <is>
          <t>Estrady 68</t>
        </is>
      </c>
      <c r="L428" t="inlineStr">
        <is>
          <t>Wlasciciel / Fachowiec</t>
        </is>
      </c>
      <c r="M428" t="n">
        <v>6</v>
      </c>
      <c r="N428" t="n">
        <v>5</v>
      </c>
      <c r="O428" t="inlineStr">
        <is>
          <t>Google Maps</t>
        </is>
      </c>
      <c r="P428" t="inlineStr">
        <is>
          <t>Nowa</t>
        </is>
      </c>
      <c r="S428" t="inlineStr">
        <is>
          <t>[FACHOWIEC - nie klient] Stolarz. Google Maps: 5 gw. z 6 opinii.</t>
        </is>
      </c>
    </row>
    <row r="429">
      <c r="B429" s="34" t="n">
        <v>46135</v>
      </c>
      <c r="C429" t="inlineStr">
        <is>
          <t>Bistol. Usługi stolarskie. Meble na zamowienie. Binkowski W.</t>
        </is>
      </c>
      <c r="D429" t="inlineStr">
        <is>
          <t>Firmy budowlane</t>
        </is>
      </c>
      <c r="E429" t="inlineStr">
        <is>
          <t>Niski (czerwony)</t>
        </is>
      </c>
      <c r="F429" t="inlineStr">
        <is>
          <t>Bielany</t>
        </is>
      </c>
      <c r="G429" t="inlineStr">
        <is>
          <t>+48 502 440 631</t>
        </is>
      </c>
      <c r="J429" t="inlineStr">
        <is>
          <t>Kazimierza Woycickiego 15</t>
        </is>
      </c>
      <c r="L429" t="inlineStr">
        <is>
          <t>Wlasciciel / Fachowiec</t>
        </is>
      </c>
      <c r="M429" t="n">
        <v>4</v>
      </c>
      <c r="N429" t="n">
        <v>4</v>
      </c>
      <c r="O429" t="inlineStr">
        <is>
          <t>Google Maps</t>
        </is>
      </c>
      <c r="P429" t="inlineStr">
        <is>
          <t>Nowa</t>
        </is>
      </c>
      <c r="S429" t="inlineStr">
        <is>
          <t>[FACHOWIEC - nie klient] Stolarz. Google Maps: 4 gw. z 4 opinii.</t>
        </is>
      </c>
    </row>
    <row r="430">
      <c r="B430" s="34" t="n">
        <v>46135</v>
      </c>
      <c r="C430" t="inlineStr">
        <is>
          <t>GoMaksWood</t>
        </is>
      </c>
      <c r="D430" t="inlineStr">
        <is>
          <t>Firmy budowlane</t>
        </is>
      </c>
      <c r="E430" t="inlineStr">
        <is>
          <t>Sredni (zolty)</t>
        </is>
      </c>
      <c r="F430" t="inlineStr">
        <is>
          <t>Bielany</t>
        </is>
      </c>
      <c r="G430" t="inlineStr">
        <is>
          <t>+48 508 578 094</t>
        </is>
      </c>
      <c r="J430" t="inlineStr">
        <is>
          <t>Sokratesa 11B</t>
        </is>
      </c>
      <c r="L430" t="inlineStr">
        <is>
          <t>Wlasciciel / Fachowiec</t>
        </is>
      </c>
      <c r="M430" t="n">
        <v>9</v>
      </c>
      <c r="N430" t="n">
        <v>5</v>
      </c>
      <c r="O430" t="inlineStr">
        <is>
          <t>Google Maps</t>
        </is>
      </c>
      <c r="P430" t="inlineStr">
        <is>
          <t>Nowa</t>
        </is>
      </c>
      <c r="S430" t="inlineStr">
        <is>
          <t>[FACHOWIEC - nie klient] Stolarz. Google Maps: 5 gw. z 9 opinii.</t>
        </is>
      </c>
    </row>
    <row r="431">
      <c r="B431" s="34" t="n">
        <v>46135</v>
      </c>
      <c r="C431" t="inlineStr">
        <is>
          <t>Montaz mebli kuchennych Warszawa - Meblunio</t>
        </is>
      </c>
      <c r="D431" t="inlineStr">
        <is>
          <t>Firmy budowlane</t>
        </is>
      </c>
      <c r="E431" t="inlineStr">
        <is>
          <t>TOP (zielony)</t>
        </is>
      </c>
      <c r="F431" t="inlineStr">
        <is>
          <t>Bielany</t>
        </is>
      </c>
      <c r="G431" t="inlineStr">
        <is>
          <t>+48 668 999 896</t>
        </is>
      </c>
      <c r="J431" t="inlineStr">
        <is>
          <t>Ksiezycowa 76</t>
        </is>
      </c>
      <c r="L431" t="inlineStr">
        <is>
          <t>Wlasciciel / Fachowiec</t>
        </is>
      </c>
      <c r="M431" t="n">
        <v>47</v>
      </c>
      <c r="N431" t="n">
        <v>4.6</v>
      </c>
      <c r="O431" t="inlineStr">
        <is>
          <t>Google Maps</t>
        </is>
      </c>
      <c r="P431" t="inlineStr">
        <is>
          <t>Nowa</t>
        </is>
      </c>
      <c r="S431" t="inlineStr">
        <is>
          <t>[FACHOWIEC - nie klient] Stolarz. Google Maps: 4.6 gw. z 47 opinii.</t>
        </is>
      </c>
    </row>
    <row r="432">
      <c r="B432" s="34" t="n">
        <v>46135</v>
      </c>
      <c r="C432" t="inlineStr">
        <is>
          <t>E&amp;D Home</t>
        </is>
      </c>
      <c r="D432" t="inlineStr">
        <is>
          <t>Firmy budowlane</t>
        </is>
      </c>
      <c r="E432" t="inlineStr">
        <is>
          <t>Niski (czerwony)</t>
        </is>
      </c>
      <c r="F432" t="inlineStr">
        <is>
          <t>Bielany</t>
        </is>
      </c>
      <c r="G432" t="inlineStr">
        <is>
          <t>+48 514 044 848</t>
        </is>
      </c>
      <c r="J432" t="inlineStr">
        <is>
          <t>Literacka 19</t>
        </is>
      </c>
      <c r="L432" t="inlineStr">
        <is>
          <t>Wlasciciel / Fachowiec</t>
        </is>
      </c>
      <c r="M432" t="n">
        <v>1</v>
      </c>
      <c r="N432" t="n">
        <v>5</v>
      </c>
      <c r="O432" t="inlineStr">
        <is>
          <t>Google Maps</t>
        </is>
      </c>
      <c r="P432" t="inlineStr">
        <is>
          <t>Nowa</t>
        </is>
      </c>
      <c r="S432" t="inlineStr">
        <is>
          <t>[FACHOWIEC - nie klient] Stolarz. Google Maps: 5 gw. z 1 opinii.</t>
        </is>
      </c>
    </row>
    <row r="433">
      <c r="B433" s="34" t="n">
        <v>46135</v>
      </c>
      <c r="C433" t="inlineStr">
        <is>
          <t>Sklep "Drewno" Andrzej Malczewski</t>
        </is>
      </c>
      <c r="D433" t="inlineStr">
        <is>
          <t>Firmy budowlane</t>
        </is>
      </c>
      <c r="E433" t="inlineStr">
        <is>
          <t>Niski (czerwony)</t>
        </is>
      </c>
      <c r="F433" t="inlineStr">
        <is>
          <t>Bielany</t>
        </is>
      </c>
      <c r="G433" t="inlineStr">
        <is>
          <t>+48 606 135 889</t>
        </is>
      </c>
      <c r="J433" t="inlineStr">
        <is>
          <t>Władysława Broniewskiego 85</t>
        </is>
      </c>
      <c r="L433" t="inlineStr">
        <is>
          <t>Wlasciciel / Fachowiec</t>
        </is>
      </c>
      <c r="M433" t="n">
        <v>9</v>
      </c>
      <c r="N433" t="n">
        <v>2.9</v>
      </c>
      <c r="O433" t="inlineStr">
        <is>
          <t>Google Maps</t>
        </is>
      </c>
      <c r="P433" t="inlineStr">
        <is>
          <t>Nowa</t>
        </is>
      </c>
      <c r="S433" t="inlineStr">
        <is>
          <t>[FACHOWIEC - nie klient] Stolarz. Google Maps: 2.9 gw. z 9 opinii.</t>
        </is>
      </c>
    </row>
    <row r="434">
      <c r="B434" s="34" t="n">
        <v>46135</v>
      </c>
      <c r="C434" t="inlineStr">
        <is>
          <t>Usługi Stolarskie - Adam Fusik</t>
        </is>
      </c>
      <c r="D434" t="inlineStr">
        <is>
          <t>Firmy budowlane</t>
        </is>
      </c>
      <c r="E434" t="inlineStr">
        <is>
          <t>Sredni (zolty)</t>
        </is>
      </c>
      <c r="F434" t="inlineStr">
        <is>
          <t>Praga-Poludnie</t>
        </is>
      </c>
      <c r="G434" t="inlineStr">
        <is>
          <t>+48 602 126 214</t>
        </is>
      </c>
      <c r="J434" t="inlineStr">
        <is>
          <t>Siennicka 36</t>
        </is>
      </c>
      <c r="L434" t="inlineStr">
        <is>
          <t>Wlasciciel / Fachowiec</t>
        </is>
      </c>
      <c r="M434" t="n">
        <v>12</v>
      </c>
      <c r="N434" t="n">
        <v>4.3</v>
      </c>
      <c r="O434" t="inlineStr">
        <is>
          <t>Google Maps</t>
        </is>
      </c>
      <c r="P434" t="inlineStr">
        <is>
          <t>Nowa</t>
        </is>
      </c>
      <c r="S434" t="inlineStr">
        <is>
          <t>[FACHOWIEC - nie klient] Stolarz. Google Maps: 4.3 gw. z 12 opinii.</t>
        </is>
      </c>
    </row>
    <row r="435">
      <c r="B435" s="34" t="n">
        <v>46135</v>
      </c>
      <c r="C435" t="inlineStr">
        <is>
          <t>HARDWOOD PRACOWNIA STOLARSKA Wojciech Walczak</t>
        </is>
      </c>
      <c r="D435" t="inlineStr">
        <is>
          <t>Firmy budowlane</t>
        </is>
      </c>
      <c r="E435" t="inlineStr">
        <is>
          <t>TOP (zielony)</t>
        </is>
      </c>
      <c r="F435" t="inlineStr">
        <is>
          <t>Praga-Poludnie</t>
        </is>
      </c>
      <c r="G435" t="inlineStr">
        <is>
          <t>+48 694 676 221</t>
        </is>
      </c>
      <c r="J435" t="inlineStr">
        <is>
          <t>Grochowska 23/31/budynek G</t>
        </is>
      </c>
      <c r="L435" t="inlineStr">
        <is>
          <t>Wlasciciel / Fachowiec</t>
        </is>
      </c>
      <c r="M435" t="n">
        <v>24</v>
      </c>
      <c r="N435" t="n">
        <v>5</v>
      </c>
      <c r="O435" t="inlineStr">
        <is>
          <t>Google Maps</t>
        </is>
      </c>
      <c r="P435" t="inlineStr">
        <is>
          <t>Nowa</t>
        </is>
      </c>
      <c r="S435" t="inlineStr">
        <is>
          <t>[FACHOWIEC - nie klient] Stolarz. Google Maps: 5 gw. z 24 opinii.</t>
        </is>
      </c>
    </row>
    <row r="436">
      <c r="B436" s="34" t="n">
        <v>46135</v>
      </c>
      <c r="C436" t="inlineStr">
        <is>
          <t>Usługi Stolarskie</t>
        </is>
      </c>
      <c r="D436" t="inlineStr">
        <is>
          <t>Firmy budowlane</t>
        </is>
      </c>
      <c r="E436" t="inlineStr">
        <is>
          <t>Sredni (zolty)</t>
        </is>
      </c>
      <c r="F436" t="inlineStr">
        <is>
          <t>Praga-Poludnie</t>
        </is>
      </c>
      <c r="G436" t="inlineStr">
        <is>
          <t>+48 501 554 994</t>
        </is>
      </c>
      <c r="J436" t="inlineStr">
        <is>
          <t>Majdanska 41</t>
        </is>
      </c>
      <c r="L436" t="inlineStr">
        <is>
          <t>Wlasciciel / Fachowiec</t>
        </is>
      </c>
      <c r="M436" t="n">
        <v>10</v>
      </c>
      <c r="N436" t="n">
        <v>4.6</v>
      </c>
      <c r="O436" t="inlineStr">
        <is>
          <t>Google Maps</t>
        </is>
      </c>
      <c r="P436" t="inlineStr">
        <is>
          <t>Nowa</t>
        </is>
      </c>
      <c r="S436" t="inlineStr">
        <is>
          <t>[FACHOWIEC - nie klient] Stolarz. Google Maps: 4.6 gw. z 10 opinii.</t>
        </is>
      </c>
    </row>
    <row r="437">
      <c r="B437" s="34" t="n">
        <v>46135</v>
      </c>
      <c r="C437" t="inlineStr">
        <is>
          <t>Pracownia stolarska Mateusz Nowak</t>
        </is>
      </c>
      <c r="D437" t="inlineStr">
        <is>
          <t>Firmy budowlane</t>
        </is>
      </c>
      <c r="E437" t="inlineStr">
        <is>
          <t>Sredni (zolty)</t>
        </is>
      </c>
      <c r="F437" t="inlineStr">
        <is>
          <t>Praga-Poludnie</t>
        </is>
      </c>
      <c r="G437" t="inlineStr">
        <is>
          <t>+48 505 376 110</t>
        </is>
      </c>
      <c r="J437" t="inlineStr">
        <is>
          <t>Chodakowska 100</t>
        </is>
      </c>
      <c r="L437" t="inlineStr">
        <is>
          <t>Wlasciciel / Fachowiec</t>
        </is>
      </c>
      <c r="M437" t="n">
        <v>13</v>
      </c>
      <c r="N437" t="n">
        <v>5</v>
      </c>
      <c r="O437" t="inlineStr">
        <is>
          <t>Google Maps</t>
        </is>
      </c>
      <c r="P437" t="inlineStr">
        <is>
          <t>Nowa</t>
        </is>
      </c>
      <c r="S437" t="inlineStr">
        <is>
          <t>[FACHOWIEC - nie klient] Stolarz. Google Maps: 5 gw. z 13 opinii.</t>
        </is>
      </c>
    </row>
    <row r="438">
      <c r="B438" s="34" t="n">
        <v>46135</v>
      </c>
      <c r="C438" t="inlineStr">
        <is>
          <t>Stolarstwo24</t>
        </is>
      </c>
      <c r="D438" t="inlineStr">
        <is>
          <t>Firmy budowlane</t>
        </is>
      </c>
      <c r="E438" t="inlineStr">
        <is>
          <t>Sredni (zolty)</t>
        </is>
      </c>
      <c r="F438" t="inlineStr">
        <is>
          <t>Praga-Poludnie</t>
        </is>
      </c>
      <c r="G438" t="inlineStr">
        <is>
          <t>+48 507 445 044</t>
        </is>
      </c>
      <c r="J438" t="inlineStr">
        <is>
          <t>Zwyciezcow 33/3</t>
        </is>
      </c>
      <c r="L438" t="inlineStr">
        <is>
          <t>Wlasciciel / Fachowiec</t>
        </is>
      </c>
      <c r="M438" t="n">
        <v>16</v>
      </c>
      <c r="N438" t="n">
        <v>4.8</v>
      </c>
      <c r="O438" t="inlineStr">
        <is>
          <t>Google Maps</t>
        </is>
      </c>
      <c r="P438" t="inlineStr">
        <is>
          <t>Nowa</t>
        </is>
      </c>
      <c r="S438" t="inlineStr">
        <is>
          <t>[FACHOWIEC - nie klient] Stolarz. Google Maps: 4.8 gw. z 16 opinii.</t>
        </is>
      </c>
    </row>
    <row r="439">
      <c r="B439" s="34" t="n">
        <v>46135</v>
      </c>
      <c r="C439" t="inlineStr">
        <is>
          <t>Stolarz Prostokaty I Kwadraty – Meble Kuchenne | Łazienkowe | Szafy Na Wymiar Warszawa Praga Południe</t>
        </is>
      </c>
      <c r="D439" t="inlineStr">
        <is>
          <t>Firmy budowlane</t>
        </is>
      </c>
      <c r="E439" t="inlineStr">
        <is>
          <t>TOP (zielony)</t>
        </is>
      </c>
      <c r="F439" t="inlineStr">
        <is>
          <t>Praga-Poludnie</t>
        </is>
      </c>
      <c r="G439" t="inlineStr">
        <is>
          <t>+48 601 246 486</t>
        </is>
      </c>
      <c r="J439" t="inlineStr">
        <is>
          <t>Grochowska 23/31/F/33</t>
        </is>
      </c>
      <c r="L439" t="inlineStr">
        <is>
          <t>Wlasciciel / Fachowiec</t>
        </is>
      </c>
      <c r="M439" t="n">
        <v>45</v>
      </c>
      <c r="N439" t="n">
        <v>4.9</v>
      </c>
      <c r="O439" t="inlineStr">
        <is>
          <t>Google Maps</t>
        </is>
      </c>
      <c r="P439" t="inlineStr">
        <is>
          <t>Nowa</t>
        </is>
      </c>
      <c r="S439" t="inlineStr">
        <is>
          <t>[FACHOWIEC - nie klient] Stolarz. Google Maps: 4.9 gw. z 45 opinii.</t>
        </is>
      </c>
    </row>
    <row r="440">
      <c r="B440" s="34" t="n">
        <v>46135</v>
      </c>
      <c r="C440" t="inlineStr">
        <is>
          <t>Romax Fort Wola 22 salon z Glazura i Łazienkami</t>
        </is>
      </c>
      <c r="D440" t="inlineStr">
        <is>
          <t>Firmy budowlane</t>
        </is>
      </c>
      <c r="E440" t="inlineStr">
        <is>
          <t>TOP (zielony)</t>
        </is>
      </c>
      <c r="F440" t="inlineStr">
        <is>
          <t>Wola</t>
        </is>
      </c>
      <c r="G440" t="inlineStr">
        <is>
          <t>+48 501 069 048</t>
        </is>
      </c>
      <c r="J440" t="inlineStr">
        <is>
          <t> · Fort Wola 22</t>
        </is>
      </c>
      <c r="L440" t="inlineStr">
        <is>
          <t>Wlasciciel / Fachowiec</t>
        </is>
      </c>
      <c r="M440" t="n">
        <v>160</v>
      </c>
      <c r="N440" t="n">
        <v>4.2</v>
      </c>
      <c r="O440" t="inlineStr">
        <is>
          <t>Google Maps</t>
        </is>
      </c>
      <c r="P440" t="inlineStr">
        <is>
          <t>Nowa</t>
        </is>
      </c>
      <c r="S440" t="inlineStr">
        <is>
          <t>[FACHOWIEC - nie klient] Glazurnik / plytkarz. Google Maps: 4.2 gw. z 160 opinii.</t>
        </is>
      </c>
    </row>
    <row r="441">
      <c r="B441" s="34" t="n">
        <v>46135</v>
      </c>
      <c r="C441" t="inlineStr">
        <is>
          <t>Smuiz Aranzacje Remont Instalacje Meble</t>
        </is>
      </c>
      <c r="D441" t="inlineStr">
        <is>
          <t>Firmy budowlane</t>
        </is>
      </c>
      <c r="E441" t="inlineStr">
        <is>
          <t>Sredni (zolty)</t>
        </is>
      </c>
      <c r="F441" t="inlineStr">
        <is>
          <t>Wola</t>
        </is>
      </c>
      <c r="G441" t="inlineStr">
        <is>
          <t>+48 736 081 510</t>
        </is>
      </c>
      <c r="J441" t="inlineStr">
        <is>
          <t>Smocza 1</t>
        </is>
      </c>
      <c r="L441" t="inlineStr">
        <is>
          <t>Wlasciciel / Fachowiec</t>
        </is>
      </c>
      <c r="M441" t="n">
        <v>17</v>
      </c>
      <c r="N441" t="n">
        <v>5</v>
      </c>
      <c r="O441" t="inlineStr">
        <is>
          <t>Google Maps</t>
        </is>
      </c>
      <c r="P441" t="inlineStr">
        <is>
          <t>Nowa</t>
        </is>
      </c>
      <c r="S441" t="inlineStr">
        <is>
          <t>[FACHOWIEC - nie klient] Glazurnik / plytkarz. Google Maps: 5 gw. z 17 opinii.</t>
        </is>
      </c>
    </row>
    <row r="442">
      <c r="B442" s="34" t="n">
        <v>46135</v>
      </c>
      <c r="C442" t="inlineStr">
        <is>
          <t>P.H.U PRO-GRESS</t>
        </is>
      </c>
      <c r="D442" t="inlineStr">
        <is>
          <t>Firmy budowlane</t>
        </is>
      </c>
      <c r="E442" t="inlineStr">
        <is>
          <t>Niski (czerwony)</t>
        </is>
      </c>
      <c r="F442" t="inlineStr">
        <is>
          <t>Praga-Poludnie</t>
        </is>
      </c>
      <c r="G442" t="inlineStr">
        <is>
          <t>+48 733 817 803</t>
        </is>
      </c>
      <c r="J442" t="inlineStr">
        <is>
          <t>Grochowska 302</t>
        </is>
      </c>
      <c r="L442" t="inlineStr">
        <is>
          <t>Wlasciciel / Fachowiec</t>
        </is>
      </c>
      <c r="M442" t="n">
        <v>2</v>
      </c>
      <c r="N442" t="n">
        <v>5</v>
      </c>
      <c r="O442" t="inlineStr">
        <is>
          <t>Google Maps</t>
        </is>
      </c>
      <c r="P442" t="inlineStr">
        <is>
          <t>Nowa</t>
        </is>
      </c>
      <c r="S442" t="inlineStr">
        <is>
          <t>[FACHOWIEC - nie klient] Glazurnik / plytkarz. Google Maps: 5 gw. z 2 opinii.</t>
        </is>
      </c>
    </row>
    <row r="443">
      <c r="B443" s="34" t="n">
        <v>46135</v>
      </c>
      <c r="C443" t="inlineStr">
        <is>
          <t>Wykonczenia wnetrz elektryk hydraulik glazurnik malarz szpachlarz 507-796-299</t>
        </is>
      </c>
      <c r="D443" t="inlineStr">
        <is>
          <t>Firmy budowlane</t>
        </is>
      </c>
      <c r="E443" t="inlineStr">
        <is>
          <t>Niski (czerwony)</t>
        </is>
      </c>
      <c r="F443" t="inlineStr">
        <is>
          <t>Praga-Poludnie</t>
        </is>
      </c>
      <c r="G443" t="inlineStr">
        <is>
          <t>+48 507 796 299</t>
        </is>
      </c>
      <c r="J443" t="inlineStr">
        <is>
          <t>Kepna 6</t>
        </is>
      </c>
      <c r="L443" t="inlineStr">
        <is>
          <t>Wlasciciel / Fachowiec</t>
        </is>
      </c>
      <c r="M443" t="n">
        <v>1</v>
      </c>
      <c r="N443" t="n">
        <v>5</v>
      </c>
      <c r="O443" t="inlineStr">
        <is>
          <t>Google Maps</t>
        </is>
      </c>
      <c r="P443" t="inlineStr">
        <is>
          <t>Nowa</t>
        </is>
      </c>
      <c r="S443" t="inlineStr">
        <is>
          <t>[FACHOWIEC - nie klient] Glazurnik / plytkarz. Google Maps: 5 gw. z 1 opinii.</t>
        </is>
      </c>
    </row>
    <row r="444">
      <c r="B444" s="34" t="n">
        <v>46135</v>
      </c>
      <c r="C444" t="inlineStr">
        <is>
          <t>NowoczesnyRemont.pl</t>
        </is>
      </c>
      <c r="D444" t="inlineStr">
        <is>
          <t>Firmy budowlane</t>
        </is>
      </c>
      <c r="E444" t="inlineStr">
        <is>
          <t>TOP (zielony)</t>
        </is>
      </c>
      <c r="F444" t="inlineStr">
        <is>
          <t>Praga-Poludnie</t>
        </is>
      </c>
      <c r="G444" t="inlineStr">
        <is>
          <t>+48 506 688 562</t>
        </is>
      </c>
      <c r="J444" t="inlineStr">
        <is>
          <t>Nasielska 23</t>
        </is>
      </c>
      <c r="L444" t="inlineStr">
        <is>
          <t>Wlasciciel / Fachowiec</t>
        </is>
      </c>
      <c r="M444" t="n">
        <v>28</v>
      </c>
      <c r="N444" t="n">
        <v>4.6</v>
      </c>
      <c r="O444" t="inlineStr">
        <is>
          <t>Google Maps</t>
        </is>
      </c>
      <c r="P444" t="inlineStr">
        <is>
          <t>Nowa</t>
        </is>
      </c>
      <c r="S444" t="inlineStr">
        <is>
          <t>[FACHOWIEC - nie klient] Glazurnik / plytkarz. Google Maps: 4.6 gw. z 28 opinii.</t>
        </is>
      </c>
    </row>
    <row r="445">
      <c r="B445" s="34" t="n">
        <v>46135</v>
      </c>
      <c r="C445" t="inlineStr">
        <is>
          <t>DANEX DACHY</t>
        </is>
      </c>
      <c r="D445" t="inlineStr">
        <is>
          <t>Firmy budowlane</t>
        </is>
      </c>
      <c r="E445" t="inlineStr">
        <is>
          <t>Niski (czerwony)</t>
        </is>
      </c>
      <c r="F445" t="inlineStr">
        <is>
          <t>Bielany</t>
        </is>
      </c>
      <c r="G445" t="inlineStr">
        <is>
          <t>+48 602 388 421</t>
        </is>
      </c>
      <c r="J445" t="inlineStr">
        <is>
          <t>Wojciecha Bogusławskiego 6a</t>
        </is>
      </c>
      <c r="L445" t="inlineStr">
        <is>
          <t>Wlasciciel / Fachowiec</t>
        </is>
      </c>
      <c r="M445" t="n">
        <v>4</v>
      </c>
      <c r="N445" t="n">
        <v>5</v>
      </c>
      <c r="O445" t="inlineStr">
        <is>
          <t>Google Maps</t>
        </is>
      </c>
      <c r="P445" t="inlineStr">
        <is>
          <t>Nowa</t>
        </is>
      </c>
      <c r="S445" t="inlineStr">
        <is>
          <t>[FACHOWIEC - nie klient] Dekarz. Google Maps: 5 gw. z 4 opinii.</t>
        </is>
      </c>
    </row>
    <row r="446">
      <c r="B446" s="34" t="n">
        <v>46135</v>
      </c>
      <c r="C446" t="inlineStr">
        <is>
          <t>Efekt Dachy - Marcin Bogusz Usługi dekarskie Warszawa</t>
        </is>
      </c>
      <c r="D446" t="inlineStr">
        <is>
          <t>Firmy budowlane</t>
        </is>
      </c>
      <c r="E446" t="inlineStr">
        <is>
          <t>Sredni (zolty)</t>
        </is>
      </c>
      <c r="F446" t="inlineStr">
        <is>
          <t>Bielany</t>
        </is>
      </c>
      <c r="G446" t="inlineStr">
        <is>
          <t>+48 506 423 991</t>
        </is>
      </c>
      <c r="J446" t="inlineStr">
        <is>
          <t>Stefana Zeromskiego 1</t>
        </is>
      </c>
      <c r="L446" t="inlineStr">
        <is>
          <t>Wlasciciel / Fachowiec</t>
        </is>
      </c>
      <c r="M446" t="n">
        <v>8</v>
      </c>
      <c r="N446" t="n">
        <v>4</v>
      </c>
      <c r="O446" t="inlineStr">
        <is>
          <t>Google Maps</t>
        </is>
      </c>
      <c r="P446" t="inlineStr">
        <is>
          <t>Nowa</t>
        </is>
      </c>
      <c r="S446" t="inlineStr">
        <is>
          <t>[FACHOWIEC - nie klient] Dekarz. Google Maps: 4 gw. z 8 opinii.</t>
        </is>
      </c>
    </row>
    <row r="447">
      <c r="B447" s="34" t="n">
        <v>46135</v>
      </c>
      <c r="C447" t="inlineStr">
        <is>
          <t>Perfect-Dach | Sprawdzony Dekarz Warszawa Naprawa dachu</t>
        </is>
      </c>
      <c r="D447" t="inlineStr">
        <is>
          <t>Firmy budowlane</t>
        </is>
      </c>
      <c r="E447" t="inlineStr">
        <is>
          <t>TOP (zielony)</t>
        </is>
      </c>
      <c r="F447" t="inlineStr">
        <is>
          <t>Bielany</t>
        </is>
      </c>
      <c r="G447" t="inlineStr">
        <is>
          <t>+48 516 903 308</t>
        </is>
      </c>
      <c r="J447" t="inlineStr">
        <is>
          <t>Sreniawitow 7</t>
        </is>
      </c>
      <c r="L447" t="inlineStr">
        <is>
          <t>Wlasciciel / Fachowiec</t>
        </is>
      </c>
      <c r="M447" t="n">
        <v>129</v>
      </c>
      <c r="N447" t="n">
        <v>4.9</v>
      </c>
      <c r="O447" t="inlineStr">
        <is>
          <t>Google Maps</t>
        </is>
      </c>
      <c r="P447" t="inlineStr">
        <is>
          <t>Nowa</t>
        </is>
      </c>
      <c r="S447" t="inlineStr">
        <is>
          <t>[FACHOWIEC - nie klient] Dekarz. Google Maps: 4.9 gw. z 129 opinii.</t>
        </is>
      </c>
    </row>
    <row r="448">
      <c r="B448" s="34" t="n">
        <v>46135</v>
      </c>
      <c r="C448" t="inlineStr">
        <is>
          <t>Błyskawiczny Dach Michał Morawski</t>
        </is>
      </c>
      <c r="D448" t="inlineStr">
        <is>
          <t>Firmy budowlane</t>
        </is>
      </c>
      <c r="E448" t="inlineStr">
        <is>
          <t>TOP (zielony)</t>
        </is>
      </c>
      <c r="F448" t="inlineStr">
        <is>
          <t>Bialoleka</t>
        </is>
      </c>
      <c r="G448" t="inlineStr">
        <is>
          <t>+48 669 176 912</t>
        </is>
      </c>
      <c r="J448" t="inlineStr">
        <is>
          <t>Porajow 4</t>
        </is>
      </c>
      <c r="L448" t="inlineStr">
        <is>
          <t>Wlasciciel / Fachowiec</t>
        </is>
      </c>
      <c r="M448" t="n">
        <v>20</v>
      </c>
      <c r="N448" t="n">
        <v>5</v>
      </c>
      <c r="O448" t="inlineStr">
        <is>
          <t>Google Maps</t>
        </is>
      </c>
      <c r="P448" t="inlineStr">
        <is>
          <t>Nowa</t>
        </is>
      </c>
      <c r="S448" t="inlineStr">
        <is>
          <t>[FACHOWIEC - nie klient] Dekarz. Google Maps: 5 gw. z 20 opinii.</t>
        </is>
      </c>
    </row>
    <row r="449">
      <c r="B449" s="34" t="n">
        <v>46135</v>
      </c>
      <c r="C449" t="inlineStr">
        <is>
          <t>DEKS BUD Usługi Dekarskie dachy elewacje remonty</t>
        </is>
      </c>
      <c r="D449" t="inlineStr">
        <is>
          <t>Firmy budowlane</t>
        </is>
      </c>
      <c r="E449" t="inlineStr">
        <is>
          <t>Niski (czerwony)</t>
        </is>
      </c>
      <c r="F449" t="inlineStr">
        <is>
          <t>Bialoleka</t>
        </is>
      </c>
      <c r="G449" t="inlineStr">
        <is>
          <t>+48 504 631 920</t>
        </is>
      </c>
      <c r="J449" t="inlineStr">
        <is>
          <t>Erazma z Zakroczymia 9</t>
        </is>
      </c>
      <c r="L449" t="inlineStr">
        <is>
          <t>Wlasciciel / Fachowiec</t>
        </is>
      </c>
      <c r="M449" t="n">
        <v>1</v>
      </c>
      <c r="N449" t="n">
        <v>5</v>
      </c>
      <c r="O449" t="inlineStr">
        <is>
          <t>Google Maps</t>
        </is>
      </c>
      <c r="P449" t="inlineStr">
        <is>
          <t>Nowa</t>
        </is>
      </c>
      <c r="S449" t="inlineStr">
        <is>
          <t>[FACHOWIEC - nie klient] Dekarz. Google Maps: 5 gw. z 1 opinii.</t>
        </is>
      </c>
    </row>
    <row r="450">
      <c r="B450" s="34" t="n">
        <v>46135</v>
      </c>
      <c r="C450" t="inlineStr">
        <is>
          <t>Dachy płaskie - Patryk Herman</t>
        </is>
      </c>
      <c r="D450" t="inlineStr">
        <is>
          <t>Firmy budowlane</t>
        </is>
      </c>
      <c r="E450" t="inlineStr">
        <is>
          <t>Sredni (zolty)</t>
        </is>
      </c>
      <c r="F450" t="inlineStr">
        <is>
          <t>Bialoleka</t>
        </is>
      </c>
      <c r="G450" t="inlineStr">
        <is>
          <t>+48 518 745 294</t>
        </is>
      </c>
      <c r="J450" t="inlineStr">
        <is>
          <t>Claudia Monteverdiego 9/1</t>
        </is>
      </c>
      <c r="L450" t="inlineStr">
        <is>
          <t>Wlasciciel / Fachowiec</t>
        </is>
      </c>
      <c r="M450" t="n">
        <v>5</v>
      </c>
      <c r="N450" t="n">
        <v>5</v>
      </c>
      <c r="O450" t="inlineStr">
        <is>
          <t>Google Maps</t>
        </is>
      </c>
      <c r="P450" t="inlineStr">
        <is>
          <t>Nowa</t>
        </is>
      </c>
      <c r="S450" t="inlineStr">
        <is>
          <t>[FACHOWIEC - nie klient] Dekarz. Google Maps: 5 gw. z 5 opinii.</t>
        </is>
      </c>
    </row>
    <row r="451">
      <c r="B451" s="34" t="n">
        <v>46135</v>
      </c>
      <c r="C451" t="inlineStr">
        <is>
          <t>Dachlux</t>
        </is>
      </c>
      <c r="D451" t="inlineStr">
        <is>
          <t>Firmy budowlane</t>
        </is>
      </c>
      <c r="E451" t="inlineStr">
        <is>
          <t>TOP (zielony)</t>
        </is>
      </c>
      <c r="F451" t="inlineStr">
        <is>
          <t>Bialoleka</t>
        </is>
      </c>
      <c r="G451" t="inlineStr">
        <is>
          <t>+48 22 814 00 13</t>
        </is>
      </c>
      <c r="J451" t="inlineStr">
        <is>
          <t> · ul. Płochocinska (rog, Kobiałka</t>
        </is>
      </c>
      <c r="L451" t="inlineStr">
        <is>
          <t>Wlasciciel / Fachowiec</t>
        </is>
      </c>
      <c r="M451" t="n">
        <v>69</v>
      </c>
      <c r="N451" t="n">
        <v>4.5</v>
      </c>
      <c r="O451" t="inlineStr">
        <is>
          <t>Google Maps</t>
        </is>
      </c>
      <c r="P451" t="inlineStr">
        <is>
          <t>Nowa</t>
        </is>
      </c>
      <c r="S451" t="inlineStr">
        <is>
          <t>[FACHOWIEC - nie klient] Dekarz. Google Maps: 4.5 gw. z 69 opinii.</t>
        </is>
      </c>
    </row>
    <row r="452">
      <c r="B452" s="34" t="n">
        <v>46135</v>
      </c>
      <c r="C452" t="inlineStr">
        <is>
          <t>Dekarstwo - Oskar Boguszewski Papa Termozgrzewalna Warszawa KOMPLEKSOWE wykonanie dachow płaskich</t>
        </is>
      </c>
      <c r="D452" t="inlineStr">
        <is>
          <t>Firmy budowlane</t>
        </is>
      </c>
      <c r="E452" t="inlineStr">
        <is>
          <t>TOP (zielony)</t>
        </is>
      </c>
      <c r="F452" t="inlineStr">
        <is>
          <t>Bialoleka</t>
        </is>
      </c>
      <c r="G452" t="inlineStr">
        <is>
          <t>+48 731 640 831</t>
        </is>
      </c>
      <c r="J452" t="inlineStr">
        <is>
          <t>Parkowa 11</t>
        </is>
      </c>
      <c r="L452" t="inlineStr">
        <is>
          <t>Wlasciciel / Fachowiec</t>
        </is>
      </c>
      <c r="M452" t="n">
        <v>23</v>
      </c>
      <c r="N452" t="n">
        <v>4.8</v>
      </c>
      <c r="O452" t="inlineStr">
        <is>
          <t>Google Maps</t>
        </is>
      </c>
      <c r="P452" t="inlineStr">
        <is>
          <t>Nowa</t>
        </is>
      </c>
      <c r="S452" t="inlineStr">
        <is>
          <t>[FACHOWIEC - nie klient] Dekarz. Google Maps: 4.8 gw. z 23 opinii.</t>
        </is>
      </c>
    </row>
    <row r="453">
      <c r="B453" s="34" t="n">
        <v>46135</v>
      </c>
      <c r="C453" t="inlineStr">
        <is>
          <t>Dekokolor - tynki dekoracyjne i mikrocement</t>
        </is>
      </c>
      <c r="D453" t="inlineStr">
        <is>
          <t>Firmy budowlane</t>
        </is>
      </c>
      <c r="E453" t="inlineStr">
        <is>
          <t>TOP (zielony)</t>
        </is>
      </c>
      <c r="F453" t="inlineStr">
        <is>
          <t>Mokotow</t>
        </is>
      </c>
      <c r="G453" t="inlineStr">
        <is>
          <t>+48 22 313 01 61</t>
        </is>
      </c>
      <c r="J453" t="inlineStr">
        <is>
          <t>Bartycka 24/26/lokal 101C</t>
        </is>
      </c>
      <c r="L453" t="inlineStr">
        <is>
          <t>Wlasciciel / Fachowiec</t>
        </is>
      </c>
      <c r="M453" t="n">
        <v>108</v>
      </c>
      <c r="N453" t="n">
        <v>4.8</v>
      </c>
      <c r="O453" t="inlineStr">
        <is>
          <t>Google Maps</t>
        </is>
      </c>
      <c r="P453" t="inlineStr">
        <is>
          <t>Nowa</t>
        </is>
      </c>
      <c r="S453" t="inlineStr">
        <is>
          <t>[FACHOWIEC - nie klient] Tynkarz. Google Maps: 4.8 gw. z 108 opinii.</t>
        </is>
      </c>
    </row>
    <row r="454">
      <c r="B454" s="34" t="n">
        <v>46135</v>
      </c>
      <c r="C454" t="inlineStr">
        <is>
          <t>EASY TYNKI - Tynki Maszynowe Gipsowe, Cementowo-Wapienne, Hybrydowe</t>
        </is>
      </c>
      <c r="D454" t="inlineStr">
        <is>
          <t>Firmy budowlane</t>
        </is>
      </c>
      <c r="E454" t="inlineStr">
        <is>
          <t>Sredni (zolty)</t>
        </is>
      </c>
      <c r="F454" t="inlineStr">
        <is>
          <t>Ursynow</t>
        </is>
      </c>
      <c r="G454" t="inlineStr">
        <is>
          <t>+48 787 815 444</t>
        </is>
      </c>
      <c r="J454" t="inlineStr">
        <is>
          <t>aleja 3 Maja 4</t>
        </is>
      </c>
      <c r="L454" t="inlineStr">
        <is>
          <t>Wlasciciel / Fachowiec</t>
        </is>
      </c>
      <c r="M454" t="n">
        <v>10</v>
      </c>
      <c r="N454" t="n">
        <v>5</v>
      </c>
      <c r="O454" t="inlineStr">
        <is>
          <t>Google Maps</t>
        </is>
      </c>
      <c r="P454" t="inlineStr">
        <is>
          <t>Nowa</t>
        </is>
      </c>
      <c r="S454" t="inlineStr">
        <is>
          <t>[FACHOWIEC - nie klient] Tynkarz. Google Maps: 5 gw. z 10 opinii.</t>
        </is>
      </c>
    </row>
    <row r="455">
      <c r="B455" s="34" t="n">
        <v>46135</v>
      </c>
      <c r="C455" t="inlineStr">
        <is>
          <t>Dachlux</t>
        </is>
      </c>
      <c r="D455" t="inlineStr">
        <is>
          <t>Firmy budowlane</t>
        </is>
      </c>
      <c r="E455" t="inlineStr">
        <is>
          <t>TOP (zielony)</t>
        </is>
      </c>
      <c r="F455" t="inlineStr">
        <is>
          <t>Ursynow</t>
        </is>
      </c>
      <c r="G455" t="inlineStr">
        <is>
          <t>+48 22 643 28 97</t>
        </is>
      </c>
      <c r="J455" t="inlineStr">
        <is>
          <t> · Puławska 487</t>
        </is>
      </c>
      <c r="L455" t="inlineStr">
        <is>
          <t>Wlasciciel / Fachowiec</t>
        </is>
      </c>
      <c r="M455" t="n">
        <v>60</v>
      </c>
      <c r="N455" t="n">
        <v>4.5</v>
      </c>
      <c r="O455" t="inlineStr">
        <is>
          <t>Google Maps</t>
        </is>
      </c>
      <c r="P455" t="inlineStr">
        <is>
          <t>Nowa</t>
        </is>
      </c>
      <c r="S455" t="inlineStr">
        <is>
          <t>[FACHOWIEC - nie klient] Tynkarz. Google Maps: 4.5 gw. z 60 opinii.</t>
        </is>
      </c>
    </row>
    <row r="456">
      <c r="B456" s="34" t="n">
        <v>46135</v>
      </c>
      <c r="C456" t="inlineStr">
        <is>
          <t>⚡️Elektryk | Awarie24h | Pomiary electroVOLT</t>
        </is>
      </c>
      <c r="D456" t="inlineStr">
        <is>
          <t>Firmy budowlane</t>
        </is>
      </c>
      <c r="E456" t="inlineStr">
        <is>
          <t>TOP (zielony)</t>
        </is>
      </c>
      <c r="F456" t="inlineStr">
        <is>
          <t>Bielany</t>
        </is>
      </c>
      <c r="G456" t="inlineStr">
        <is>
          <t>+48 729 460 626</t>
        </is>
      </c>
      <c r="J456" t="inlineStr">
        <is>
          <t>Władysława Broniewskiego</t>
        </is>
      </c>
      <c r="L456" t="inlineStr">
        <is>
          <t>Wlasciciel / Fachowiec</t>
        </is>
      </c>
      <c r="M456" t="n">
        <v>33</v>
      </c>
      <c r="N456" t="n">
        <v>5</v>
      </c>
      <c r="O456" t="inlineStr">
        <is>
          <t>Google Maps</t>
        </is>
      </c>
      <c r="P456" t="inlineStr">
        <is>
          <t>Nowa</t>
        </is>
      </c>
      <c r="S456" t="inlineStr">
        <is>
          <t>[FACHOWIEC - nie klient] Elektryk. Google Maps: 5 gw. z 33 opinii.</t>
        </is>
      </c>
    </row>
    <row r="457">
      <c r="B457" s="34" t="n">
        <v>46135</v>
      </c>
      <c r="C457" t="inlineStr">
        <is>
          <t>Elektryk24h</t>
        </is>
      </c>
      <c r="D457" t="inlineStr">
        <is>
          <t>Firmy budowlane</t>
        </is>
      </c>
      <c r="E457" t="inlineStr">
        <is>
          <t>TOP (zielony)</t>
        </is>
      </c>
      <c r="F457" t="inlineStr">
        <is>
          <t>Bielany</t>
        </is>
      </c>
      <c r="G457" t="inlineStr">
        <is>
          <t>+48 501 046 589</t>
        </is>
      </c>
      <c r="J457" t="inlineStr">
        <is>
          <t>Maciejewskiego 1/m 75</t>
        </is>
      </c>
      <c r="L457" t="inlineStr">
        <is>
          <t>Wlasciciel / Fachowiec</t>
        </is>
      </c>
      <c r="M457" t="n">
        <v>54</v>
      </c>
      <c r="N457" t="n">
        <v>5</v>
      </c>
      <c r="O457" t="inlineStr">
        <is>
          <t>Google Maps</t>
        </is>
      </c>
      <c r="P457" t="inlineStr">
        <is>
          <t>Nowa</t>
        </is>
      </c>
      <c r="S457" t="inlineStr">
        <is>
          <t>[FACHOWIEC - nie klient] Elektryk. Google Maps: 5 gw. z 54 opinii.</t>
        </is>
      </c>
    </row>
    <row r="458">
      <c r="B458" s="34" t="n">
        <v>46135</v>
      </c>
      <c r="C458" t="inlineStr">
        <is>
          <t>Elektryk 24 – Usługi Elektryczne Warszawa</t>
        </is>
      </c>
      <c r="D458" t="inlineStr">
        <is>
          <t>Firmy budowlane</t>
        </is>
      </c>
      <c r="E458" t="inlineStr">
        <is>
          <t>TOP (zielony)</t>
        </is>
      </c>
      <c r="F458" t="inlineStr">
        <is>
          <t>Bielany</t>
        </is>
      </c>
      <c r="G458" t="inlineStr">
        <is>
          <t>+48 512 224 154</t>
        </is>
      </c>
      <c r="J458" t="inlineStr">
        <is>
          <t>Brzozowy Zagajnik 24</t>
        </is>
      </c>
      <c r="L458" t="inlineStr">
        <is>
          <t>Wlasciciel / Fachowiec</t>
        </is>
      </c>
      <c r="M458" t="n">
        <v>42</v>
      </c>
      <c r="N458" t="n">
        <v>4.7</v>
      </c>
      <c r="O458" t="inlineStr">
        <is>
          <t>Google Maps</t>
        </is>
      </c>
      <c r="P458" t="inlineStr">
        <is>
          <t>Nowa</t>
        </is>
      </c>
      <c r="S458" t="inlineStr">
        <is>
          <t>[FACHOWIEC - nie klient] Elektryk. Google Maps: 4.7 gw. z 42 opinii.</t>
        </is>
      </c>
    </row>
    <row r="459">
      <c r="B459" s="34" t="n">
        <v>46135</v>
      </c>
      <c r="C459" t="inlineStr">
        <is>
          <t>StrSerwis Robert Strzelec Elektryk</t>
        </is>
      </c>
      <c r="D459" t="inlineStr">
        <is>
          <t>Firmy budowlane</t>
        </is>
      </c>
      <c r="E459" t="inlineStr">
        <is>
          <t>Sredni (zolty)</t>
        </is>
      </c>
      <c r="F459" t="inlineStr">
        <is>
          <t>Bielany</t>
        </is>
      </c>
      <c r="G459" t="inlineStr">
        <is>
          <t>+48 507 200 042</t>
        </is>
      </c>
      <c r="J459" t="inlineStr">
        <is>
          <t>Josepha Conrada 18</t>
        </is>
      </c>
      <c r="L459" t="inlineStr">
        <is>
          <t>Wlasciciel / Fachowiec</t>
        </is>
      </c>
      <c r="M459" t="n">
        <v>15</v>
      </c>
      <c r="N459" t="n">
        <v>4.9</v>
      </c>
      <c r="O459" t="inlineStr">
        <is>
          <t>Google Maps</t>
        </is>
      </c>
      <c r="P459" t="inlineStr">
        <is>
          <t>Nowa</t>
        </is>
      </c>
      <c r="S459" t="inlineStr">
        <is>
          <t>[FACHOWIEC - nie klient] Elektryk. Google Maps: 4.9 gw. z 15 opinii.</t>
        </is>
      </c>
    </row>
    <row r="460">
      <c r="B460" s="34" t="n">
        <v>46135</v>
      </c>
      <c r="C460" t="inlineStr">
        <is>
          <t>Elektryk Warszawa Białołeka</t>
        </is>
      </c>
      <c r="D460" t="inlineStr">
        <is>
          <t>Firmy budowlane</t>
        </is>
      </c>
      <c r="E460" t="inlineStr">
        <is>
          <t>Sredni (zolty)</t>
        </is>
      </c>
      <c r="F460" t="inlineStr">
        <is>
          <t>Bialoleka</t>
        </is>
      </c>
      <c r="G460" t="inlineStr">
        <is>
          <t>+48 609 619 901</t>
        </is>
      </c>
      <c r="J460" t="inlineStr">
        <is>
          <t>Olenki 5</t>
        </is>
      </c>
      <c r="L460" t="inlineStr">
        <is>
          <t>Wlasciciel / Fachowiec</t>
        </is>
      </c>
      <c r="M460" t="n">
        <v>12</v>
      </c>
      <c r="N460" t="n">
        <v>5</v>
      </c>
      <c r="O460" t="inlineStr">
        <is>
          <t>Google Maps</t>
        </is>
      </c>
      <c r="P460" t="inlineStr">
        <is>
          <t>Nowa</t>
        </is>
      </c>
      <c r="S460" t="inlineStr">
        <is>
          <t>[FACHOWIEC - nie klient] Elektryk. Google Maps: 5 gw. z 12 opinii.</t>
        </is>
      </c>
    </row>
    <row r="461">
      <c r="B461" s="34" t="n">
        <v>46135</v>
      </c>
      <c r="C461" t="inlineStr">
        <is>
          <t>Elektryk</t>
        </is>
      </c>
      <c r="D461" t="inlineStr">
        <is>
          <t>Firmy budowlane</t>
        </is>
      </c>
      <c r="E461" t="inlineStr">
        <is>
          <t>Niski (czerwony)</t>
        </is>
      </c>
      <c r="F461" t="inlineStr">
        <is>
          <t>Bialoleka</t>
        </is>
      </c>
      <c r="G461" t="inlineStr">
        <is>
          <t>+48 665 410 284</t>
        </is>
      </c>
      <c r="J461" t="inlineStr">
        <is>
          <t>Ksiazkowa 9C</t>
        </is>
      </c>
      <c r="L461" t="inlineStr">
        <is>
          <t>Wlasciciel / Fachowiec</t>
        </is>
      </c>
      <c r="M461" t="n">
        <v>3</v>
      </c>
      <c r="N461" t="n">
        <v>5</v>
      </c>
      <c r="O461" t="inlineStr">
        <is>
          <t>Google Maps</t>
        </is>
      </c>
      <c r="P461" t="inlineStr">
        <is>
          <t>Nowa</t>
        </is>
      </c>
      <c r="S461" t="inlineStr">
        <is>
          <t>[FACHOWIEC - nie klient] Elektryk. Google Maps: 5 gw. z 3 opinii.</t>
        </is>
      </c>
    </row>
    <row r="462">
      <c r="B462" s="34" t="n">
        <v>46135</v>
      </c>
      <c r="C462" t="inlineStr">
        <is>
          <t>Elektryk-Białołeka, Tadeusz Dobrzeniecki.</t>
        </is>
      </c>
      <c r="D462" t="inlineStr">
        <is>
          <t>Firmy budowlane</t>
        </is>
      </c>
      <c r="E462" t="inlineStr">
        <is>
          <t>Sredni (zolty)</t>
        </is>
      </c>
      <c r="F462" t="inlineStr">
        <is>
          <t>Bialoleka</t>
        </is>
      </c>
      <c r="G462" t="inlineStr">
        <is>
          <t>+48 501 339 883</t>
        </is>
      </c>
      <c r="J462" t="inlineStr">
        <is>
          <t>Stanisława Chudoby 1</t>
        </is>
      </c>
      <c r="L462" t="inlineStr">
        <is>
          <t>Wlasciciel / Fachowiec</t>
        </is>
      </c>
      <c r="M462" t="n">
        <v>5</v>
      </c>
      <c r="N462" t="n">
        <v>5</v>
      </c>
      <c r="O462" t="inlineStr">
        <is>
          <t>Google Maps</t>
        </is>
      </c>
      <c r="P462" t="inlineStr">
        <is>
          <t>Nowa</t>
        </is>
      </c>
      <c r="S462" t="inlineStr">
        <is>
          <t>[FACHOWIEC - nie klient] Elektryk. Google Maps: 5 gw. z 5 opinii.</t>
        </is>
      </c>
    </row>
    <row r="463">
      <c r="B463" s="34" t="n">
        <v>46135</v>
      </c>
      <c r="C463" t="inlineStr">
        <is>
          <t>Elektryk InstalatorKazik Piotr Kazimierczak</t>
        </is>
      </c>
      <c r="D463" t="inlineStr">
        <is>
          <t>Firmy budowlane</t>
        </is>
      </c>
      <c r="E463" t="inlineStr">
        <is>
          <t>TOP (zielony)</t>
        </is>
      </c>
      <c r="F463" t="inlineStr">
        <is>
          <t>Bialoleka</t>
        </is>
      </c>
      <c r="G463" t="inlineStr">
        <is>
          <t>+48 579 558 509</t>
        </is>
      </c>
      <c r="J463" t="inlineStr">
        <is>
          <t>Swiatowida 16</t>
        </is>
      </c>
      <c r="L463" t="inlineStr">
        <is>
          <t>Wlasciciel / Fachowiec</t>
        </is>
      </c>
      <c r="M463" t="n">
        <v>78</v>
      </c>
      <c r="N463" t="n">
        <v>4.8</v>
      </c>
      <c r="O463" t="inlineStr">
        <is>
          <t>Google Maps</t>
        </is>
      </c>
      <c r="P463" t="inlineStr">
        <is>
          <t>Nowa</t>
        </is>
      </c>
      <c r="S463" t="inlineStr">
        <is>
          <t>[FACHOWIEC - nie klient] Elektryk. Google Maps: 4.8 gw. z 78 opinii.</t>
        </is>
      </c>
    </row>
    <row r="464">
      <c r="B464" s="34" t="n">
        <v>46135</v>
      </c>
      <c r="C464" t="inlineStr">
        <is>
          <t>ElHub Instalacje Elektryczne, Elektryk Warszawa, Awarie, Pomiary</t>
        </is>
      </c>
      <c r="D464" t="inlineStr">
        <is>
          <t>Firmy budowlane</t>
        </is>
      </c>
      <c r="E464" t="inlineStr">
        <is>
          <t>Sredni (zolty)</t>
        </is>
      </c>
      <c r="F464" t="inlineStr">
        <is>
          <t>Bialoleka</t>
        </is>
      </c>
      <c r="G464" t="inlineStr">
        <is>
          <t>+48 508 581 805</t>
        </is>
      </c>
      <c r="J464" t="inlineStr">
        <is>
          <t>Winorosli 12</t>
        </is>
      </c>
      <c r="L464" t="inlineStr">
        <is>
          <t>Wlasciciel / Fachowiec</t>
        </is>
      </c>
      <c r="M464" t="n">
        <v>9</v>
      </c>
      <c r="N464" t="n">
        <v>5</v>
      </c>
      <c r="O464" t="inlineStr">
        <is>
          <t>Google Maps</t>
        </is>
      </c>
      <c r="P464" t="inlineStr">
        <is>
          <t>Nowa</t>
        </is>
      </c>
      <c r="S464" t="inlineStr">
        <is>
          <t>[FACHOWIEC - nie klient] Elektryk. Google Maps: 5 gw. z 9 opinii.</t>
        </is>
      </c>
    </row>
    <row r="465">
      <c r="B465" s="34" t="n">
        <v>46135</v>
      </c>
      <c r="C465" t="inlineStr">
        <is>
          <t>ElektroCars Elektryk Samochodowy</t>
        </is>
      </c>
      <c r="D465" t="inlineStr">
        <is>
          <t>Firmy budowlane</t>
        </is>
      </c>
      <c r="E465" t="inlineStr">
        <is>
          <t>TOP (zielony)</t>
        </is>
      </c>
      <c r="F465" t="inlineStr">
        <is>
          <t>Bemowo</t>
        </is>
      </c>
      <c r="G465" t="inlineStr">
        <is>
          <t>+48 880 206 573</t>
        </is>
      </c>
      <c r="J465" t="inlineStr">
        <is>
          <t> · Wrocławska 4</t>
        </is>
      </c>
      <c r="L465" t="inlineStr">
        <is>
          <t>Wlasciciel / Fachowiec</t>
        </is>
      </c>
      <c r="M465" t="n">
        <v>70</v>
      </c>
      <c r="N465" t="n">
        <v>4.8</v>
      </c>
      <c r="O465" t="inlineStr">
        <is>
          <t>Google Maps</t>
        </is>
      </c>
      <c r="P465" t="inlineStr">
        <is>
          <t>Nowa</t>
        </is>
      </c>
      <c r="S465" t="inlineStr">
        <is>
          <t>[FACHOWIEC - nie klient] Elektryk. Google Maps: 4.8 gw. z 70 opinii.</t>
        </is>
      </c>
    </row>
    <row r="466">
      <c r="B466" s="34" t="n">
        <v>46135</v>
      </c>
      <c r="C466" t="inlineStr">
        <is>
          <t>Elektryk</t>
        </is>
      </c>
      <c r="D466" t="inlineStr">
        <is>
          <t>Firmy budowlane</t>
        </is>
      </c>
      <c r="E466" t="inlineStr">
        <is>
          <t>TOP (zielony)</t>
        </is>
      </c>
      <c r="F466" t="inlineStr">
        <is>
          <t>Bemowo</t>
        </is>
      </c>
      <c r="G466" t="inlineStr">
        <is>
          <t>+48 514 753 751</t>
        </is>
      </c>
      <c r="J466" t="inlineStr">
        <is>
          <t>Andersa 24</t>
        </is>
      </c>
      <c r="L466" t="inlineStr">
        <is>
          <t>Wlasciciel / Fachowiec</t>
        </is>
      </c>
      <c r="M466" t="n">
        <v>51</v>
      </c>
      <c r="N466" t="n">
        <v>4.9</v>
      </c>
      <c r="O466" t="inlineStr">
        <is>
          <t>Google Maps</t>
        </is>
      </c>
      <c r="P466" t="inlineStr">
        <is>
          <t>Nowa</t>
        </is>
      </c>
      <c r="S466" t="inlineStr">
        <is>
          <t>[FACHOWIEC - nie klient] Elektryk. Google Maps: 4.9 gw. z 51 opinii.</t>
        </is>
      </c>
    </row>
    <row r="467">
      <c r="B467" s="34" t="n">
        <v>46135</v>
      </c>
      <c r="C467" t="inlineStr">
        <is>
          <t>4SUN - Hurtownia Fotowoltaiczna / Panele Fotowoltaiczne</t>
        </is>
      </c>
      <c r="D467" t="inlineStr">
        <is>
          <t>Firmy budowlane</t>
        </is>
      </c>
      <c r="E467" t="inlineStr">
        <is>
          <t>TOP (zielony)</t>
        </is>
      </c>
      <c r="F467" t="inlineStr">
        <is>
          <t>Bialoleka</t>
        </is>
      </c>
      <c r="G467" t="inlineStr">
        <is>
          <t>+48 22 114 98 05</t>
        </is>
      </c>
      <c r="J467" t="inlineStr">
        <is>
          <t> · Annopol 4</t>
        </is>
      </c>
      <c r="L467" t="inlineStr">
        <is>
          <t>Wlasciciel / Fachowiec</t>
        </is>
      </c>
      <c r="M467" t="n">
        <v>64</v>
      </c>
      <c r="N467" t="n">
        <v>4.3</v>
      </c>
      <c r="O467" t="inlineStr">
        <is>
          <t>Google Maps</t>
        </is>
      </c>
      <c r="P467" t="inlineStr">
        <is>
          <t>Nowa</t>
        </is>
      </c>
      <c r="S467" t="inlineStr">
        <is>
          <t>[FACHOWIEC - nie klient] Fotowoltaika. Google Maps: 4.3 gw. z 64 opinii.</t>
        </is>
      </c>
    </row>
    <row r="468">
      <c r="B468" s="34" t="n">
        <v>46135</v>
      </c>
      <c r="C468" t="inlineStr">
        <is>
          <t>Enerp sp. z o.o.</t>
        </is>
      </c>
      <c r="D468" t="inlineStr">
        <is>
          <t>Firmy budowlane</t>
        </is>
      </c>
      <c r="E468" t="inlineStr">
        <is>
          <t>TOP (zielony)</t>
        </is>
      </c>
      <c r="F468" t="inlineStr">
        <is>
          <t>Bialoleka</t>
        </is>
      </c>
      <c r="G468" t="inlineStr">
        <is>
          <t>+48 732 084 484</t>
        </is>
      </c>
      <c r="J468" t="inlineStr">
        <is>
          <t>Ostrodzka 130</t>
        </is>
      </c>
      <c r="L468" t="inlineStr">
        <is>
          <t>Wlasciciel / Fachowiec</t>
        </is>
      </c>
      <c r="M468" t="n">
        <v>61</v>
      </c>
      <c r="N468" t="n">
        <v>5</v>
      </c>
      <c r="O468" t="inlineStr">
        <is>
          <t>Google Maps</t>
        </is>
      </c>
      <c r="P468" t="inlineStr">
        <is>
          <t>Nowa</t>
        </is>
      </c>
      <c r="S468" t="inlineStr">
        <is>
          <t>[FACHOWIEC - nie klient] Fotowoltaika. Google Maps: 5 gw. z 61 opinii.</t>
        </is>
      </c>
    </row>
    <row r="469">
      <c r="B469" s="34" t="n">
        <v>46135</v>
      </c>
      <c r="C469" t="inlineStr">
        <is>
          <t>ENERGY STORE</t>
        </is>
      </c>
      <c r="D469" t="inlineStr">
        <is>
          <t>Firmy budowlane</t>
        </is>
      </c>
      <c r="E469" t="inlineStr">
        <is>
          <t>Sredni (zolty)</t>
        </is>
      </c>
      <c r="F469" t="inlineStr">
        <is>
          <t>Bialoleka</t>
        </is>
      </c>
      <c r="G469" t="inlineStr">
        <is>
          <t>+48 726 712 077</t>
        </is>
      </c>
      <c r="J469" t="inlineStr">
        <is>
          <t>Zdziarska 16F</t>
        </is>
      </c>
      <c r="L469" t="inlineStr">
        <is>
          <t>Wlasciciel / Fachowiec</t>
        </is>
      </c>
      <c r="M469" t="n">
        <v>8</v>
      </c>
      <c r="N469" t="n">
        <v>5</v>
      </c>
      <c r="O469" t="inlineStr">
        <is>
          <t>Google Maps</t>
        </is>
      </c>
      <c r="P469" t="inlineStr">
        <is>
          <t>Nowa</t>
        </is>
      </c>
      <c r="S469" t="inlineStr">
        <is>
          <t>[FACHOWIEC - nie klient] Fotowoltaika. Google Maps: 5 gw. z 8 opinii.</t>
        </is>
      </c>
    </row>
    <row r="470">
      <c r="B470" s="34" t="n">
        <v>46135</v>
      </c>
      <c r="C470" t="inlineStr">
        <is>
          <t>KAIZEN CAA, FOTOWOLTAIKA</t>
        </is>
      </c>
      <c r="D470" t="inlineStr">
        <is>
          <t>Firmy budowlane</t>
        </is>
      </c>
      <c r="E470" t="inlineStr">
        <is>
          <t>Sredni (zolty)</t>
        </is>
      </c>
      <c r="F470" t="inlineStr">
        <is>
          <t>Bialoleka</t>
        </is>
      </c>
      <c r="G470" t="inlineStr">
        <is>
          <t>+48 727 910 496</t>
        </is>
      </c>
      <c r="J470" t="inlineStr">
        <is>
          <t>Odkryta 29A</t>
        </is>
      </c>
      <c r="L470" t="inlineStr">
        <is>
          <t>Wlasciciel / Fachowiec</t>
        </is>
      </c>
      <c r="M470" t="n">
        <v>15</v>
      </c>
      <c r="N470" t="n">
        <v>5</v>
      </c>
      <c r="O470" t="inlineStr">
        <is>
          <t>Google Maps</t>
        </is>
      </c>
      <c r="P470" t="inlineStr">
        <is>
          <t>Nowa</t>
        </is>
      </c>
      <c r="S470" t="inlineStr">
        <is>
          <t>[FACHOWIEC - nie klient] Fotowoltaika. Google Maps: 5 gw. z 15 opinii.</t>
        </is>
      </c>
    </row>
    <row r="471">
      <c r="B471" s="34" t="n">
        <v>46135</v>
      </c>
      <c r="C471" t="inlineStr">
        <is>
          <t>So-far Sp z o.o. Fotowoltaika</t>
        </is>
      </c>
      <c r="D471" t="inlineStr">
        <is>
          <t>Firmy budowlane</t>
        </is>
      </c>
      <c r="E471" t="inlineStr">
        <is>
          <t>Sredni (zolty)</t>
        </is>
      </c>
      <c r="F471" t="inlineStr">
        <is>
          <t>Bialoleka</t>
        </is>
      </c>
      <c r="G471" t="inlineStr">
        <is>
          <t>+48 571 096 444</t>
        </is>
      </c>
      <c r="J471" t="inlineStr">
        <is>
          <t>Elektronowa 2</t>
        </is>
      </c>
      <c r="L471" t="inlineStr">
        <is>
          <t>Wlasciciel / Fachowiec</t>
        </is>
      </c>
      <c r="M471" t="n">
        <v>5</v>
      </c>
      <c r="N471" t="n">
        <v>5</v>
      </c>
      <c r="O471" t="inlineStr">
        <is>
          <t>Google Maps</t>
        </is>
      </c>
      <c r="P471" t="inlineStr">
        <is>
          <t>Nowa</t>
        </is>
      </c>
      <c r="S471" t="inlineStr">
        <is>
          <t>[FACHOWIEC - nie klient] Fotowoltaika. Google Maps: 5 gw. z 5 opinii.</t>
        </is>
      </c>
    </row>
    <row r="472">
      <c r="B472" s="34" t="n">
        <v>46135</v>
      </c>
      <c r="C472" t="inlineStr">
        <is>
          <t>EKODOM OZE</t>
        </is>
      </c>
      <c r="D472" t="inlineStr">
        <is>
          <t>Firmy budowlane</t>
        </is>
      </c>
      <c r="E472" t="inlineStr">
        <is>
          <t>TOP (zielony)</t>
        </is>
      </c>
      <c r="F472" t="inlineStr">
        <is>
          <t>Bialoleka</t>
        </is>
      </c>
      <c r="G472" t="inlineStr">
        <is>
          <t>+48 576 921 721</t>
        </is>
      </c>
      <c r="J472" t="inlineStr">
        <is>
          <t> · Staniewicka 5</t>
        </is>
      </c>
      <c r="L472" t="inlineStr">
        <is>
          <t>Wlasciciel / Fachowiec</t>
        </is>
      </c>
      <c r="M472" t="n">
        <v>181</v>
      </c>
      <c r="N472" t="n">
        <v>4.9</v>
      </c>
      <c r="O472" t="inlineStr">
        <is>
          <t>Google Maps</t>
        </is>
      </c>
      <c r="P472" t="inlineStr">
        <is>
          <t>Nowa</t>
        </is>
      </c>
      <c r="S472" t="inlineStr">
        <is>
          <t>[FACHOWIEC - nie klient] Fotowoltaika. Google Maps: 4.9 gw. z 181 opinii.</t>
        </is>
      </c>
    </row>
    <row r="473">
      <c r="B473" s="34" t="n">
        <v>46135</v>
      </c>
      <c r="C473" t="inlineStr">
        <is>
          <t>SunSky Energy</t>
        </is>
      </c>
      <c r="D473" t="inlineStr">
        <is>
          <t>Firmy budowlane</t>
        </is>
      </c>
      <c r="E473" t="inlineStr">
        <is>
          <t>TOP (zielony)</t>
        </is>
      </c>
      <c r="F473" t="inlineStr">
        <is>
          <t>Bialoleka</t>
        </is>
      </c>
      <c r="G473" t="inlineStr">
        <is>
          <t>+48 602 611 688</t>
        </is>
      </c>
      <c r="J473" t="inlineStr">
        <is>
          <t> · Radzyminska 326</t>
        </is>
      </c>
      <c r="L473" t="inlineStr">
        <is>
          <t>Wlasciciel / Fachowiec</t>
        </is>
      </c>
      <c r="M473" t="n">
        <v>39</v>
      </c>
      <c r="N473" t="n">
        <v>4.7</v>
      </c>
      <c r="O473" t="inlineStr">
        <is>
          <t>Google Maps</t>
        </is>
      </c>
      <c r="P473" t="inlineStr">
        <is>
          <t>Nowa</t>
        </is>
      </c>
      <c r="S473" t="inlineStr">
        <is>
          <t>[FACHOWIEC - nie klient] Fotowoltaika. Google Maps: 4.7 gw. z 39 opinii.</t>
        </is>
      </c>
    </row>
    <row r="474">
      <c r="B474" s="34" t="n">
        <v>46135</v>
      </c>
      <c r="C474" t="inlineStr">
        <is>
          <t>Gannet Guard Systems S.A.</t>
        </is>
      </c>
      <c r="D474" t="inlineStr">
        <is>
          <t>Firmy budowlane</t>
        </is>
      </c>
      <c r="E474" t="inlineStr">
        <is>
          <t>TOP (zielony)</t>
        </is>
      </c>
      <c r="F474" t="inlineStr">
        <is>
          <t>Ursynow</t>
        </is>
      </c>
      <c r="G474" t="inlineStr">
        <is>
          <t>+48 22 884 62 60</t>
        </is>
      </c>
      <c r="J474" t="inlineStr">
        <is>
          <t> · Rotmistrza Witolda Pileckiego 63</t>
        </is>
      </c>
      <c r="L474" t="inlineStr">
        <is>
          <t>Wlasciciel / Fachowiec</t>
        </is>
      </c>
      <c r="M474" t="n">
        <v>2227</v>
      </c>
      <c r="N474" t="n">
        <v>5</v>
      </c>
      <c r="O474" t="inlineStr">
        <is>
          <t>Google Maps</t>
        </is>
      </c>
      <c r="P474" t="inlineStr">
        <is>
          <t>Nowa</t>
        </is>
      </c>
      <c r="S474" t="inlineStr">
        <is>
          <t>[FACHOWIEC - nie klient] Alarmy / monitoring. Google Maps: 5 gw. z 2227 opinii.</t>
        </is>
      </c>
    </row>
    <row r="475">
      <c r="B475" s="34" t="n">
        <v>46135</v>
      </c>
      <c r="C475" t="inlineStr">
        <is>
          <t>AAT SYSTEMY BEZPIECZENSTWA Sp. z o.o.</t>
        </is>
      </c>
      <c r="D475" t="inlineStr">
        <is>
          <t>Firmy budowlane</t>
        </is>
      </c>
      <c r="E475" t="inlineStr">
        <is>
          <t>TOP (zielony)</t>
        </is>
      </c>
      <c r="F475" t="inlineStr">
        <is>
          <t>Ursynow</t>
        </is>
      </c>
      <c r="G475" t="inlineStr">
        <is>
          <t>+48 22 546 05 46</t>
        </is>
      </c>
      <c r="J475" t="inlineStr">
        <is>
          <t> · Puławska 431</t>
        </is>
      </c>
      <c r="L475" t="inlineStr">
        <is>
          <t>Wlasciciel / Fachowiec</t>
        </is>
      </c>
      <c r="M475" t="n">
        <v>98</v>
      </c>
      <c r="N475" t="n">
        <v>4.7</v>
      </c>
      <c r="O475" t="inlineStr">
        <is>
          <t>Google Maps</t>
        </is>
      </c>
      <c r="P475" t="inlineStr">
        <is>
          <t>Nowa</t>
        </is>
      </c>
      <c r="S475" t="inlineStr">
        <is>
          <t>[FACHOWIEC - nie klient] Alarmy / monitoring. Google Maps: 4.7 gw. z 98 opinii.</t>
        </is>
      </c>
    </row>
    <row r="476">
      <c r="B476" s="34" t="n">
        <v>46135</v>
      </c>
      <c r="C476" t="inlineStr">
        <is>
          <t>🛡StrazakSAT - Instalacje Teletechniczne, Telewizja, Internet, Wi-Fi, Kamery, Anteny, LTE 5G, Wideodomofon</t>
        </is>
      </c>
      <c r="D476" t="inlineStr">
        <is>
          <t>Firmy budowlane</t>
        </is>
      </c>
      <c r="E476" t="inlineStr">
        <is>
          <t>TOP (zielony)</t>
        </is>
      </c>
      <c r="F476" t="inlineStr">
        <is>
          <t>Ursynow</t>
        </is>
      </c>
      <c r="G476" t="inlineStr">
        <is>
          <t>+48 509 381 722</t>
        </is>
      </c>
      <c r="J476" t="inlineStr">
        <is>
          <t> · Meander 18</t>
        </is>
      </c>
      <c r="L476" t="inlineStr">
        <is>
          <t>Wlasciciel / Fachowiec</t>
        </is>
      </c>
      <c r="M476" t="n">
        <v>21</v>
      </c>
      <c r="N476" t="n">
        <v>5</v>
      </c>
      <c r="O476" t="inlineStr">
        <is>
          <t>Google Maps</t>
        </is>
      </c>
      <c r="P476" t="inlineStr">
        <is>
          <t>Nowa</t>
        </is>
      </c>
      <c r="S476" t="inlineStr">
        <is>
          <t>[FACHOWIEC - nie klient] Alarmy / monitoring. Google Maps: 5 gw. z 21 opinii.</t>
        </is>
      </c>
    </row>
    <row r="477">
      <c r="B477" s="34" t="n">
        <v>46135</v>
      </c>
      <c r="C477" t="inlineStr">
        <is>
          <t>Smart Audio Home / inteligentny dom / Alarm / Monitoring / Ampio Warszawa</t>
        </is>
      </c>
      <c r="D477" t="inlineStr">
        <is>
          <t>Firmy budowlane</t>
        </is>
      </c>
      <c r="E477" t="inlineStr">
        <is>
          <t>Niski (czerwony)</t>
        </is>
      </c>
      <c r="F477" t="inlineStr">
        <is>
          <t>Ursynow</t>
        </is>
      </c>
      <c r="G477" t="inlineStr">
        <is>
          <t>+48 600 967 463</t>
        </is>
      </c>
      <c r="J477" t="inlineStr">
        <is>
          <t>Puławska 392</t>
        </is>
      </c>
      <c r="L477" t="inlineStr">
        <is>
          <t>Wlasciciel / Fachowiec</t>
        </is>
      </c>
      <c r="M477" t="n">
        <v>4</v>
      </c>
      <c r="N477" t="n">
        <v>5</v>
      </c>
      <c r="O477" t="inlineStr">
        <is>
          <t>Google Maps</t>
        </is>
      </c>
      <c r="P477" t="inlineStr">
        <is>
          <t>Nowa</t>
        </is>
      </c>
      <c r="S477" t="inlineStr">
        <is>
          <t>[FACHOWIEC - nie klient] Alarmy / monitoring. Google Maps: 5 gw. z 4 opinii.</t>
        </is>
      </c>
    </row>
    <row r="478">
      <c r="B478" s="34" t="n">
        <v>46135</v>
      </c>
      <c r="C478" t="inlineStr">
        <is>
          <t>FHU Armax</t>
        </is>
      </c>
      <c r="D478" t="inlineStr">
        <is>
          <t>Firmy budowlane</t>
        </is>
      </c>
      <c r="E478" t="inlineStr">
        <is>
          <t>Niski (czerwony)</t>
        </is>
      </c>
      <c r="F478" t="inlineStr">
        <is>
          <t>Ursynow</t>
        </is>
      </c>
      <c r="G478" t="inlineStr">
        <is>
          <t>+48 604 933 988</t>
        </is>
      </c>
      <c r="J478" t="inlineStr">
        <is>
          <t>Polinezyjska 2</t>
        </is>
      </c>
      <c r="L478" t="inlineStr">
        <is>
          <t>Wlasciciel / Fachowiec</t>
        </is>
      </c>
      <c r="M478" t="n">
        <v>3</v>
      </c>
      <c r="N478" t="n">
        <v>3.7</v>
      </c>
      <c r="O478" t="inlineStr">
        <is>
          <t>Google Maps</t>
        </is>
      </c>
      <c r="P478" t="inlineStr">
        <is>
          <t>Nowa</t>
        </is>
      </c>
      <c r="S478" t="inlineStr">
        <is>
          <t>[FACHOWIEC - nie klient] Alarmy / monitoring. Google Maps: 3.7 gw. z 3 opinii.</t>
        </is>
      </c>
    </row>
    <row r="479">
      <c r="B479" s="34" t="n">
        <v>46135</v>
      </c>
      <c r="C479" t="inlineStr">
        <is>
          <t>Delta Technic</t>
        </is>
      </c>
      <c r="D479" t="inlineStr">
        <is>
          <t>Firmy budowlane</t>
        </is>
      </c>
      <c r="E479" t="inlineStr">
        <is>
          <t>TOP (zielony)</t>
        </is>
      </c>
      <c r="F479" t="inlineStr">
        <is>
          <t>Ursynow</t>
        </is>
      </c>
      <c r="G479" t="inlineStr">
        <is>
          <t>+48 732 555 554</t>
        </is>
      </c>
      <c r="J479" t="inlineStr">
        <is>
          <t>Aleja Komisji Edukacji Narodowej 36/112B</t>
        </is>
      </c>
      <c r="L479" t="inlineStr">
        <is>
          <t>Wlasciciel / Fachowiec</t>
        </is>
      </c>
      <c r="M479" t="n">
        <v>20</v>
      </c>
      <c r="N479" t="n">
        <v>5</v>
      </c>
      <c r="O479" t="inlineStr">
        <is>
          <t>Google Maps</t>
        </is>
      </c>
      <c r="P479" t="inlineStr">
        <is>
          <t>Nowa</t>
        </is>
      </c>
      <c r="S479" t="inlineStr">
        <is>
          <t>[FACHOWIEC - nie klient] Alarmy / monitoring. Google Maps: 5 gw. z 20 opinii.</t>
        </is>
      </c>
    </row>
    <row r="480">
      <c r="B480" s="34" t="n">
        <v>46135</v>
      </c>
      <c r="C480" t="inlineStr">
        <is>
          <t>Sklep Instalatora - sklepinstalatora.pl - sklep internetowy firmy Protinstal</t>
        </is>
      </c>
      <c r="D480" t="inlineStr">
        <is>
          <t>Firmy budowlane</t>
        </is>
      </c>
      <c r="E480" t="inlineStr">
        <is>
          <t>Sredni (zolty)</t>
        </is>
      </c>
      <c r="F480" t="inlineStr">
        <is>
          <t>Ursynow</t>
        </is>
      </c>
      <c r="G480" t="inlineStr">
        <is>
          <t>+48 885 255 555</t>
        </is>
      </c>
      <c r="J480" t="inlineStr">
        <is>
          <t>Aleja Komisji Edukacji Narodowej 51</t>
        </is>
      </c>
      <c r="L480" t="inlineStr">
        <is>
          <t>Wlasciciel / Fachowiec</t>
        </is>
      </c>
      <c r="M480" t="n">
        <v>10</v>
      </c>
      <c r="N480" t="n">
        <v>4.8</v>
      </c>
      <c r="O480" t="inlineStr">
        <is>
          <t>Google Maps</t>
        </is>
      </c>
      <c r="P480" t="inlineStr">
        <is>
          <t>Nowa</t>
        </is>
      </c>
      <c r="S480" t="inlineStr">
        <is>
          <t>[FACHOWIEC - nie klient] Alarmy / monitoring. Google Maps: 4.8 gw. z 10 opinii.</t>
        </is>
      </c>
    </row>
    <row r="481">
      <c r="B481" s="34" t="n">
        <v>46135</v>
      </c>
      <c r="C481" t="inlineStr">
        <is>
          <t>Rigips Polska</t>
        </is>
      </c>
      <c r="D481" t="inlineStr">
        <is>
          <t>Firmy budowlane</t>
        </is>
      </c>
      <c r="E481" t="inlineStr">
        <is>
          <t>Niski (czerwony)</t>
        </is>
      </c>
      <c r="G481" t="inlineStr">
        <is>
          <t>+48 22 457 14 57</t>
        </is>
      </c>
      <c r="J481" t="inlineStr">
        <is>
          <t> · Chmielna 69</t>
        </is>
      </c>
      <c r="L481" t="inlineStr">
        <is>
          <t>Wlasciciel / Fachowiec</t>
        </is>
      </c>
      <c r="M481" t="n">
        <v>9</v>
      </c>
      <c r="N481" t="n">
        <v>3.4</v>
      </c>
      <c r="O481" t="inlineStr">
        <is>
          <t>Google Maps</t>
        </is>
      </c>
      <c r="P481" t="inlineStr">
        <is>
          <t>Nowa</t>
        </is>
      </c>
      <c r="S481" t="inlineStr">
        <is>
          <t>[FACHOWIEC - nie klient] Karton-gips / suche zabudowy. Google Maps: 3.4 gw. z 9 opinii.</t>
        </is>
      </c>
    </row>
    <row r="482">
      <c r="B482" s="34" t="n">
        <v>46135</v>
      </c>
      <c r="C482" t="inlineStr">
        <is>
          <t>Bernard Sosin Profesjonalne Tapetowanie</t>
        </is>
      </c>
      <c r="D482" t="inlineStr">
        <is>
          <t>Firmy budowlane</t>
        </is>
      </c>
      <c r="E482" t="inlineStr">
        <is>
          <t>TOP (zielony)</t>
        </is>
      </c>
      <c r="G482" t="inlineStr">
        <is>
          <t>+48 790 849 839</t>
        </is>
      </c>
      <c r="J482" t="inlineStr">
        <is>
          <t>Cybernetyki 7/h</t>
        </is>
      </c>
      <c r="L482" t="inlineStr">
        <is>
          <t>Wlasciciel / Fachowiec</t>
        </is>
      </c>
      <c r="M482" t="n">
        <v>59</v>
      </c>
      <c r="N482" t="n">
        <v>4.9</v>
      </c>
      <c r="O482" t="inlineStr">
        <is>
          <t>Google Maps</t>
        </is>
      </c>
      <c r="P482" t="inlineStr">
        <is>
          <t>Nowa</t>
        </is>
      </c>
      <c r="S482" t="inlineStr">
        <is>
          <t>[FACHOWIEC - nie klient] Tapeciarz. Google Maps: 4.9 gw. z 59 opinii.</t>
        </is>
      </c>
    </row>
    <row r="483">
      <c r="B483" s="34" t="n">
        <v>46135</v>
      </c>
      <c r="C483" t="inlineStr">
        <is>
          <t>Art-Gomil</t>
        </is>
      </c>
      <c r="D483" t="inlineStr">
        <is>
          <t>Firmy budowlane</t>
        </is>
      </c>
      <c r="E483" t="inlineStr">
        <is>
          <t>Niski (czerwony)</t>
        </is>
      </c>
      <c r="G483" t="inlineStr">
        <is>
          <t>+48 508 605 357</t>
        </is>
      </c>
      <c r="J483" t="inlineStr">
        <is>
          <t>Zelazna 34/38</t>
        </is>
      </c>
      <c r="L483" t="inlineStr">
        <is>
          <t>Wlasciciel / Fachowiec</t>
        </is>
      </c>
      <c r="M483" t="n">
        <v>8</v>
      </c>
      <c r="N483" t="n">
        <v>3.5</v>
      </c>
      <c r="O483" t="inlineStr">
        <is>
          <t>Google Maps</t>
        </is>
      </c>
      <c r="P483" t="inlineStr">
        <is>
          <t>Nowa</t>
        </is>
      </c>
      <c r="S483" t="inlineStr">
        <is>
          <t>[FACHOWIEC - nie klient] Tapeciarz. Google Maps: 3.5 gw. z 8 opinii.</t>
        </is>
      </c>
    </row>
    <row r="484">
      <c r="B484" s="34" t="n">
        <v>46135</v>
      </c>
      <c r="C484" t="inlineStr">
        <is>
          <t>Wallps - Profesjonalne Tapetowanie</t>
        </is>
      </c>
      <c r="D484" t="inlineStr">
        <is>
          <t>Firmy budowlane</t>
        </is>
      </c>
      <c r="E484" t="inlineStr">
        <is>
          <t>Sredni (zolty)</t>
        </is>
      </c>
      <c r="G484" t="inlineStr">
        <is>
          <t>+48 507 112 345</t>
        </is>
      </c>
      <c r="J484" t="inlineStr">
        <is>
          <t>08:00 · +48 507 112 345</t>
        </is>
      </c>
      <c r="L484" t="inlineStr">
        <is>
          <t>Wlasciciel / Fachowiec</t>
        </is>
      </c>
      <c r="M484" t="n">
        <v>11</v>
      </c>
      <c r="N484" t="n">
        <v>5</v>
      </c>
      <c r="O484" t="inlineStr">
        <is>
          <t>Google Maps</t>
        </is>
      </c>
      <c r="P484" t="inlineStr">
        <is>
          <t>Nowa</t>
        </is>
      </c>
      <c r="S484" t="inlineStr">
        <is>
          <t>[FACHOWIEC - nie klient] Tapeciarz. Google Maps: 5 gw. z 11 opinii.</t>
        </is>
      </c>
    </row>
    <row r="485">
      <c r="B485" s="34" t="n">
        <v>46135</v>
      </c>
      <c r="C485" t="inlineStr">
        <is>
          <t>Studio Tapet i Dekoracji</t>
        </is>
      </c>
      <c r="D485" t="inlineStr">
        <is>
          <t>Firmy budowlane</t>
        </is>
      </c>
      <c r="E485" t="inlineStr">
        <is>
          <t>TOP (zielony)</t>
        </is>
      </c>
      <c r="G485" t="inlineStr">
        <is>
          <t>+48 22 838 08 19</t>
        </is>
      </c>
      <c r="J485" t="inlineStr">
        <is>
          <t> · al. Jana Pawła II 45a/lokal 44a</t>
        </is>
      </c>
      <c r="L485" t="inlineStr">
        <is>
          <t>Wlasciciel / Fachowiec</t>
        </is>
      </c>
      <c r="M485" t="n">
        <v>22</v>
      </c>
      <c r="N485" t="n">
        <v>4.3</v>
      </c>
      <c r="O485" t="inlineStr">
        <is>
          <t>Google Maps</t>
        </is>
      </c>
      <c r="P485" t="inlineStr">
        <is>
          <t>Nowa</t>
        </is>
      </c>
      <c r="S485" t="inlineStr">
        <is>
          <t>[FACHOWIEC - nie klient] Tapeciarz. Google Maps: 4.3 gw. z 22 opinii.</t>
        </is>
      </c>
    </row>
    <row r="486">
      <c r="B486" s="34" t="n">
        <v>46135</v>
      </c>
      <c r="C486" t="inlineStr">
        <is>
          <t>Studio Tapet i Dekoracji</t>
        </is>
      </c>
      <c r="D486" t="inlineStr">
        <is>
          <t>Firmy budowlane</t>
        </is>
      </c>
      <c r="E486" t="inlineStr">
        <is>
          <t>TOP (zielony)</t>
        </is>
      </c>
      <c r="G486" t="inlineStr">
        <is>
          <t>+48 515 033 023</t>
        </is>
      </c>
      <c r="J486" t="inlineStr">
        <is>
          <t> · Rotmistrza Witolda Pileckiego 59</t>
        </is>
      </c>
      <c r="L486" t="inlineStr">
        <is>
          <t>Wlasciciel / Fachowiec</t>
        </is>
      </c>
      <c r="M486" t="n">
        <v>24</v>
      </c>
      <c r="N486" t="n">
        <v>5</v>
      </c>
      <c r="O486" t="inlineStr">
        <is>
          <t>Google Maps</t>
        </is>
      </c>
      <c r="P486" t="inlineStr">
        <is>
          <t>Nowa</t>
        </is>
      </c>
      <c r="S486" t="inlineStr">
        <is>
          <t>[FACHOWIEC - nie klient] Tapeciarz. Google Maps: 5 gw. z 24 opinii.</t>
        </is>
      </c>
    </row>
    <row r="487">
      <c r="B487" s="34" t="n">
        <v>46135</v>
      </c>
      <c r="C487" t="inlineStr">
        <is>
          <t>Dobre Tapetowanie</t>
        </is>
      </c>
      <c r="D487" t="inlineStr">
        <is>
          <t>Firmy budowlane</t>
        </is>
      </c>
      <c r="E487" t="inlineStr">
        <is>
          <t>TOP (zielony)</t>
        </is>
      </c>
      <c r="G487" t="inlineStr">
        <is>
          <t>+48 886 929 154</t>
        </is>
      </c>
      <c r="J487" t="inlineStr">
        <is>
          <t>Debowa 15A</t>
        </is>
      </c>
      <c r="L487" t="inlineStr">
        <is>
          <t>Wlasciciel / Fachowiec</t>
        </is>
      </c>
      <c r="M487" t="n">
        <v>24</v>
      </c>
      <c r="N487" t="n">
        <v>4.7</v>
      </c>
      <c r="O487" t="inlineStr">
        <is>
          <t>Google Maps</t>
        </is>
      </c>
      <c r="P487" t="inlineStr">
        <is>
          <t>Nowa</t>
        </is>
      </c>
      <c r="S487" t="inlineStr">
        <is>
          <t>[FACHOWIEC - nie klient] Tapeciarz. Google Maps: 4.7 gw. z 24 opinii.</t>
        </is>
      </c>
    </row>
    <row r="488">
      <c r="B488" s="34" t="n">
        <v>46135</v>
      </c>
      <c r="C488" t="inlineStr">
        <is>
          <t>Romax w Home Concept salon z Glazura i Łazienkami</t>
        </is>
      </c>
      <c r="D488" t="inlineStr">
        <is>
          <t>Firmy budowlane</t>
        </is>
      </c>
      <c r="E488" t="inlineStr">
        <is>
          <t>TOP (zielony)</t>
        </is>
      </c>
      <c r="G488" t="inlineStr">
        <is>
          <t>+48 512 170 456</t>
        </is>
      </c>
      <c r="J488" t="inlineStr">
        <is>
          <t> · Aleje Jerozolimskie 185 Stoisko nr. 17</t>
        </is>
      </c>
      <c r="L488" t="inlineStr">
        <is>
          <t>Wlasciciel / Fachowiec</t>
        </is>
      </c>
      <c r="M488" t="n">
        <v>107</v>
      </c>
      <c r="N488" t="n">
        <v>4.1</v>
      </c>
      <c r="O488" t="inlineStr">
        <is>
          <t>Google Maps</t>
        </is>
      </c>
      <c r="P488" t="inlineStr">
        <is>
          <t>Nowa</t>
        </is>
      </c>
      <c r="S488" t="inlineStr">
        <is>
          <t>[FACHOWIEC - nie klient] Kafelkarz. Google Maps: 4.1 gw. z 107 opinii.</t>
        </is>
      </c>
    </row>
    <row r="489">
      <c r="B489" s="34" t="n">
        <v>46135</v>
      </c>
      <c r="C489" t="inlineStr">
        <is>
          <t>Architekt, projektant i projektowanie wnetrz Warszawa - 4ma Projekt</t>
        </is>
      </c>
      <c r="D489" t="inlineStr">
        <is>
          <t>Firmy budowlane</t>
        </is>
      </c>
      <c r="E489" t="inlineStr">
        <is>
          <t>TOP (zielony)</t>
        </is>
      </c>
      <c r="G489" t="inlineStr">
        <is>
          <t>+48 501 032 727</t>
        </is>
      </c>
      <c r="J489" t="inlineStr">
        <is>
          <t>Aleje Jerozolimskie 100 Budynek Equator IV (10 pietro, Al. Jerozolimskie 100/lok. 1027</t>
        </is>
      </c>
      <c r="L489" t="inlineStr">
        <is>
          <t>Wlasciciel / Fachowiec</t>
        </is>
      </c>
      <c r="M489" t="n">
        <v>28</v>
      </c>
      <c r="N489" t="n">
        <v>4.6</v>
      </c>
      <c r="O489" t="inlineStr">
        <is>
          <t>Google Maps</t>
        </is>
      </c>
      <c r="P489" t="inlineStr">
        <is>
          <t>Nowa</t>
        </is>
      </c>
      <c r="S489" t="inlineStr">
        <is>
          <t>[FACHOWIEC - nie klient] Architekt wnetrz. Google Maps: 4.6 gw. z 28 opinii.</t>
        </is>
      </c>
    </row>
    <row r="490">
      <c r="B490" s="34" t="n">
        <v>46135</v>
      </c>
      <c r="C490" t="inlineStr">
        <is>
          <t>WIUMI</t>
        </is>
      </c>
      <c r="D490" t="inlineStr">
        <is>
          <t>Firmy budowlane</t>
        </is>
      </c>
      <c r="E490" t="inlineStr">
        <is>
          <t>TOP (zielony)</t>
        </is>
      </c>
      <c r="G490" t="inlineStr">
        <is>
          <t>+48 793 025 867</t>
        </is>
      </c>
      <c r="J490" t="inlineStr">
        <is>
          <t> · Daleka 2</t>
        </is>
      </c>
      <c r="L490" t="inlineStr">
        <is>
          <t>Wlasciciel / Fachowiec</t>
        </is>
      </c>
      <c r="M490" t="n">
        <v>116</v>
      </c>
      <c r="N490" t="n">
        <v>5</v>
      </c>
      <c r="O490" t="inlineStr">
        <is>
          <t>Google Maps</t>
        </is>
      </c>
      <c r="P490" t="inlineStr">
        <is>
          <t>Nowa</t>
        </is>
      </c>
      <c r="S490" t="inlineStr">
        <is>
          <t>[FACHOWIEC - nie klient] Architekt wnetrz. Google Maps: 5 gw. z 116 opinii.</t>
        </is>
      </c>
    </row>
    <row r="491">
      <c r="B491" s="34" t="n">
        <v>46135</v>
      </c>
      <c r="C491" t="inlineStr">
        <is>
          <t>BAUART STUDIO projektant wnetrz architekt</t>
        </is>
      </c>
      <c r="D491" t="inlineStr">
        <is>
          <t>Firmy budowlane</t>
        </is>
      </c>
      <c r="E491" t="inlineStr">
        <is>
          <t>TOP (zielony)</t>
        </is>
      </c>
      <c r="G491" t="inlineStr">
        <is>
          <t>+48 501 647 841</t>
        </is>
      </c>
      <c r="J491" t="inlineStr">
        <is>
          <t> · Braci Pillatich 1/m. 36</t>
        </is>
      </c>
      <c r="L491" t="inlineStr">
        <is>
          <t>Wlasciciel / Fachowiec</t>
        </is>
      </c>
      <c r="M491" t="n">
        <v>62</v>
      </c>
      <c r="N491" t="n">
        <v>4.8</v>
      </c>
      <c r="O491" t="inlineStr">
        <is>
          <t>Google Maps</t>
        </is>
      </c>
      <c r="P491" t="inlineStr">
        <is>
          <t>Nowa</t>
        </is>
      </c>
      <c r="S491" t="inlineStr">
        <is>
          <t>[FACHOWIEC - nie klient] Architekt wnetrz. Google Maps: 4.8 gw. z 62 opinii.</t>
        </is>
      </c>
    </row>
    <row r="492">
      <c r="B492" s="34" t="n">
        <v>46135</v>
      </c>
      <c r="C492" t="inlineStr">
        <is>
          <t>jlw studio architektura wnetrz</t>
        </is>
      </c>
      <c r="D492" t="inlineStr">
        <is>
          <t>Firmy budowlane</t>
        </is>
      </c>
      <c r="E492" t="inlineStr">
        <is>
          <t>TOP (zielony)</t>
        </is>
      </c>
      <c r="G492" t="inlineStr">
        <is>
          <t>+48 500 092 852</t>
        </is>
      </c>
      <c r="J492" t="inlineStr">
        <is>
          <t>Poli Gojawiczynskiej 5</t>
        </is>
      </c>
      <c r="L492" t="inlineStr">
        <is>
          <t>Wlasciciel / Fachowiec</t>
        </is>
      </c>
      <c r="M492" t="n">
        <v>38</v>
      </c>
      <c r="N492" t="n">
        <v>5</v>
      </c>
      <c r="O492" t="inlineStr">
        <is>
          <t>Google Maps</t>
        </is>
      </c>
      <c r="P492" t="inlineStr">
        <is>
          <t>Nowa</t>
        </is>
      </c>
      <c r="S492" t="inlineStr">
        <is>
          <t>[FACHOWIEC - nie klient] Architekt wnetrz. Google Maps: 5 gw. z 38 opinii.</t>
        </is>
      </c>
    </row>
    <row r="493">
      <c r="B493" s="34" t="n">
        <v>46135</v>
      </c>
      <c r="C493" t="inlineStr">
        <is>
          <t>Przestronnie - Projektant wnetrz Warszawa</t>
        </is>
      </c>
      <c r="D493" t="inlineStr">
        <is>
          <t>Firmy budowlane</t>
        </is>
      </c>
      <c r="E493" t="inlineStr">
        <is>
          <t>TOP (zielony)</t>
        </is>
      </c>
      <c r="G493" t="inlineStr">
        <is>
          <t>+48 22 389 55 00</t>
        </is>
      </c>
      <c r="J493" t="inlineStr">
        <is>
          <t>Al. Jerozolimskie 131/m. 35</t>
        </is>
      </c>
      <c r="L493" t="inlineStr">
        <is>
          <t>Wlasciciel / Fachowiec</t>
        </is>
      </c>
      <c r="M493" t="n">
        <v>57</v>
      </c>
      <c r="N493" t="n">
        <v>5</v>
      </c>
      <c r="O493" t="inlineStr">
        <is>
          <t>Google Maps</t>
        </is>
      </c>
      <c r="P493" t="inlineStr">
        <is>
          <t>Nowa</t>
        </is>
      </c>
      <c r="S493" t="inlineStr">
        <is>
          <t>[FACHOWIEC - nie klient] Architekt wnetrz. Google Maps: 5 gw. z 57 opinii.</t>
        </is>
      </c>
    </row>
    <row r="494">
      <c r="B494" s="34" t="n">
        <v>46135</v>
      </c>
      <c r="C494" t="inlineStr">
        <is>
          <t>Karier</t>
        </is>
      </c>
      <c r="D494" t="inlineStr">
        <is>
          <t>Firmy budowlane</t>
        </is>
      </c>
      <c r="E494" t="inlineStr">
        <is>
          <t>TOP (zielony)</t>
        </is>
      </c>
      <c r="G494" t="inlineStr">
        <is>
          <t>+48 793 721 072</t>
        </is>
      </c>
      <c r="J494" t="inlineStr">
        <is>
          <t>Arkuszowa 87</t>
        </is>
      </c>
      <c r="L494" t="inlineStr">
        <is>
          <t>Wlasciciel / Fachowiec</t>
        </is>
      </c>
      <c r="M494" t="n">
        <v>27</v>
      </c>
      <c r="N494" t="n">
        <v>5</v>
      </c>
      <c r="O494" t="inlineStr">
        <is>
          <t>Google Maps</t>
        </is>
      </c>
      <c r="P494" t="inlineStr">
        <is>
          <t>Nowa</t>
        </is>
      </c>
      <c r="S494" t="inlineStr">
        <is>
          <t>[FACHOWIEC - nie klient] Kamieniarz. Google Maps: 5 gw. z 27 opinii.</t>
        </is>
      </c>
    </row>
    <row r="495">
      <c r="B495" s="34" t="n">
        <v>46135</v>
      </c>
      <c r="C495" t="inlineStr">
        <is>
          <t>Kamieniarstwo Bieleccy - konserwacja kamienia (Warszawa).</t>
        </is>
      </c>
      <c r="D495" t="inlineStr">
        <is>
          <t>Firmy budowlane</t>
        </is>
      </c>
      <c r="E495" t="inlineStr">
        <is>
          <t>TOP (zielony)</t>
        </is>
      </c>
      <c r="G495" t="inlineStr">
        <is>
          <t>+48 690 512 337</t>
        </is>
      </c>
      <c r="J495" t="inlineStr">
        <is>
          <t> · sw. Wincentego 75</t>
        </is>
      </c>
      <c r="L495" t="inlineStr">
        <is>
          <t>Wlasciciel / Fachowiec</t>
        </is>
      </c>
      <c r="M495" t="n">
        <v>67</v>
      </c>
      <c r="N495" t="n">
        <v>4.6</v>
      </c>
      <c r="O495" t="inlineStr">
        <is>
          <t>Google Maps</t>
        </is>
      </c>
      <c r="P495" t="inlineStr">
        <is>
          <t>Nowa</t>
        </is>
      </c>
      <c r="S495" t="inlineStr">
        <is>
          <t>[FACHOWIEC - nie klient] Kamieniarz. Google Maps: 4.6 gw. z 67 opinii.</t>
        </is>
      </c>
    </row>
    <row r="496">
      <c r="B496" s="34" t="n">
        <v>46135</v>
      </c>
      <c r="C496" t="inlineStr">
        <is>
          <t>Zakład Kamieniarski</t>
        </is>
      </c>
      <c r="D496" t="inlineStr">
        <is>
          <t>Firmy budowlane</t>
        </is>
      </c>
      <c r="E496" t="inlineStr">
        <is>
          <t>TOP (zielony)</t>
        </is>
      </c>
      <c r="G496" t="inlineStr">
        <is>
          <t>+48 515 103 988</t>
        </is>
      </c>
      <c r="J496" t="inlineStr">
        <is>
          <t> · Na Krancu 2</t>
        </is>
      </c>
      <c r="L496" t="inlineStr">
        <is>
          <t>Wlasciciel / Fachowiec</t>
        </is>
      </c>
      <c r="M496" t="n">
        <v>20</v>
      </c>
      <c r="N496" t="n">
        <v>5</v>
      </c>
      <c r="O496" t="inlineStr">
        <is>
          <t>Google Maps</t>
        </is>
      </c>
      <c r="P496" t="inlineStr">
        <is>
          <t>Nowa</t>
        </is>
      </c>
      <c r="S496" t="inlineStr">
        <is>
          <t>[FACHOWIEC - nie klient] Kamieniarz. Google Maps: 5 gw. z 20 opinii.</t>
        </is>
      </c>
    </row>
    <row r="497">
      <c r="B497" s="34" t="n">
        <v>46135</v>
      </c>
      <c r="C497" t="inlineStr">
        <is>
          <t>Latomus Kamieniarstwo - Warszawa</t>
        </is>
      </c>
      <c r="D497" t="inlineStr">
        <is>
          <t>Firmy budowlane</t>
        </is>
      </c>
      <c r="E497" t="inlineStr">
        <is>
          <t>TOP (zielony)</t>
        </is>
      </c>
      <c r="G497" t="inlineStr">
        <is>
          <t>+48 789 786 076</t>
        </is>
      </c>
      <c r="J497" t="inlineStr">
        <is>
          <t>Zielonych Traw 8</t>
        </is>
      </c>
      <c r="L497" t="inlineStr">
        <is>
          <t>Wlasciciel / Fachowiec</t>
        </is>
      </c>
      <c r="M497" t="n">
        <v>53</v>
      </c>
      <c r="N497" t="n">
        <v>4.9</v>
      </c>
      <c r="O497" t="inlineStr">
        <is>
          <t>Google Maps</t>
        </is>
      </c>
      <c r="P497" t="inlineStr">
        <is>
          <t>Nowa</t>
        </is>
      </c>
      <c r="S497" t="inlineStr">
        <is>
          <t>[FACHOWIEC - nie klient] Kamieniarz. Google Maps: 4.9 gw. z 53 opinii.</t>
        </is>
      </c>
    </row>
    <row r="498">
      <c r="B498" s="34" t="n">
        <v>46135</v>
      </c>
      <c r="C498" t="inlineStr">
        <is>
          <t>VMG Tomasz Wilczynski</t>
        </is>
      </c>
      <c r="D498" t="inlineStr">
        <is>
          <t>Firmy budowlane</t>
        </is>
      </c>
      <c r="E498" t="inlineStr">
        <is>
          <t>Sredni (zolty)</t>
        </is>
      </c>
      <c r="G498" t="inlineStr">
        <is>
          <t>+48 601 954 067</t>
        </is>
      </c>
      <c r="J498" t="inlineStr">
        <is>
          <t> · Anyzkowa 14</t>
        </is>
      </c>
      <c r="L498" t="inlineStr">
        <is>
          <t>Wlasciciel / Fachowiec</t>
        </is>
      </c>
      <c r="M498" t="n">
        <v>16</v>
      </c>
      <c r="N498" t="n">
        <v>4.9</v>
      </c>
      <c r="O498" t="inlineStr">
        <is>
          <t>Google Maps</t>
        </is>
      </c>
      <c r="P498" t="inlineStr">
        <is>
          <t>Nowa</t>
        </is>
      </c>
      <c r="S498" t="inlineStr">
        <is>
          <t>[FACHOWIEC - nie klient] Kamieniarz. Google Maps: 4.9 gw. z 16 opinii.</t>
        </is>
      </c>
    </row>
    <row r="499">
      <c r="B499" s="34" t="n">
        <v>46135</v>
      </c>
      <c r="C499" t="inlineStr">
        <is>
          <t>Nagrobki Warszawa Malibo</t>
        </is>
      </c>
      <c r="D499" t="inlineStr">
        <is>
          <t>Firmy budowlane</t>
        </is>
      </c>
      <c r="E499" t="inlineStr">
        <is>
          <t>TOP (zielony)</t>
        </is>
      </c>
      <c r="G499" t="inlineStr">
        <is>
          <t>+48 22 835 65 41</t>
        </is>
      </c>
      <c r="J499" t="inlineStr">
        <is>
          <t> · Palisadowa 35</t>
        </is>
      </c>
      <c r="L499" t="inlineStr">
        <is>
          <t>Wlasciciel / Fachowiec</t>
        </is>
      </c>
      <c r="M499" t="n">
        <v>40</v>
      </c>
      <c r="N499" t="n">
        <v>4.9</v>
      </c>
      <c r="O499" t="inlineStr">
        <is>
          <t>Google Maps</t>
        </is>
      </c>
      <c r="P499" t="inlineStr">
        <is>
          <t>Nowa</t>
        </is>
      </c>
      <c r="S499" t="inlineStr">
        <is>
          <t>[FACHOWIEC - nie klient] Kamieniarz. Google Maps: 4.9 gw. z 40 opinii.</t>
        </is>
      </c>
    </row>
    <row r="500">
      <c r="B500" s="34" t="n">
        <v>46135</v>
      </c>
      <c r="C500" t="inlineStr">
        <is>
          <t>Tomasz Suminski Artpetra - kamieniarstwo, liternictwo, renowacja, nagrobki</t>
        </is>
      </c>
      <c r="D500" t="inlineStr">
        <is>
          <t>Firmy budowlane</t>
        </is>
      </c>
      <c r="E500" t="inlineStr">
        <is>
          <t>TOP (zielony)</t>
        </is>
      </c>
      <c r="G500" t="inlineStr">
        <is>
          <t>+48 793 255 588</t>
        </is>
      </c>
      <c r="J500" t="inlineStr">
        <is>
          <t> · 182, Wolska 180, Pawilon nr 10</t>
        </is>
      </c>
      <c r="L500" t="inlineStr">
        <is>
          <t>Wlasciciel / Fachowiec</t>
        </is>
      </c>
      <c r="M500" t="n">
        <v>136</v>
      </c>
      <c r="N500" t="n">
        <v>5</v>
      </c>
      <c r="O500" t="inlineStr">
        <is>
          <t>Google Maps</t>
        </is>
      </c>
      <c r="P500" t="inlineStr">
        <is>
          <t>Nowa</t>
        </is>
      </c>
      <c r="S500" t="inlineStr">
        <is>
          <t>[FACHOWIEC - nie klient] Kamieniarz. Google Maps: 5 gw. z 136 opinii.</t>
        </is>
      </c>
    </row>
    <row r="501">
      <c r="B501" s="34" t="n">
        <v>46135</v>
      </c>
      <c r="C501" t="inlineStr">
        <is>
          <t>Wycinka drzew</t>
        </is>
      </c>
      <c r="D501" t="inlineStr">
        <is>
          <t>Firmy budowlane</t>
        </is>
      </c>
      <c r="E501" t="inlineStr">
        <is>
          <t>TOP (zielony)</t>
        </is>
      </c>
      <c r="G501" t="inlineStr">
        <is>
          <t>+48 664 918 856</t>
        </is>
      </c>
      <c r="J501" t="inlineStr">
        <is>
          <t>08:00 · +48 664 918 856</t>
        </is>
      </c>
      <c r="L501" t="inlineStr">
        <is>
          <t>Wlasciciel / Fachowiec</t>
        </is>
      </c>
      <c r="M501" t="n">
        <v>71</v>
      </c>
      <c r="N501" t="n">
        <v>5</v>
      </c>
      <c r="O501" t="inlineStr">
        <is>
          <t>Google Maps</t>
        </is>
      </c>
      <c r="P501" t="inlineStr">
        <is>
          <t>Nowa</t>
        </is>
      </c>
      <c r="S501" t="inlineStr">
        <is>
          <t>[FACHOWIEC - nie klient] Pielegnacja drzew. Google Maps: 5 gw. z 71 opinii.</t>
        </is>
      </c>
    </row>
    <row r="502">
      <c r="B502" s="34" t="n">
        <v>46135</v>
      </c>
      <c r="C502" t="inlineStr">
        <is>
          <t>Wycinka drzew Warszawa - Drzewny Majster</t>
        </is>
      </c>
      <c r="D502" t="inlineStr">
        <is>
          <t>Firmy budowlane</t>
        </is>
      </c>
      <c r="E502" t="inlineStr">
        <is>
          <t>TOP (zielony)</t>
        </is>
      </c>
      <c r="G502" t="inlineStr">
        <is>
          <t>+48 606 270 477</t>
        </is>
      </c>
      <c r="J502" t="inlineStr">
        <is>
          <t>Hoza 51</t>
        </is>
      </c>
      <c r="L502" t="inlineStr">
        <is>
          <t>Wlasciciel / Fachowiec</t>
        </is>
      </c>
      <c r="M502" t="n">
        <v>58</v>
      </c>
      <c r="N502" t="n">
        <v>5</v>
      </c>
      <c r="O502" t="inlineStr">
        <is>
          <t>Google Maps</t>
        </is>
      </c>
      <c r="P502" t="inlineStr">
        <is>
          <t>Nowa</t>
        </is>
      </c>
      <c r="S502" t="inlineStr">
        <is>
          <t>[FACHOWIEC - nie klient] Pielegnacja drzew. Google Maps: 5 gw. z 58 opinii.</t>
        </is>
      </c>
    </row>
    <row r="503">
      <c r="B503" s="34" t="n">
        <v>46135</v>
      </c>
      <c r="C503" t="inlineStr">
        <is>
          <t>Wycinka i pielegnacja drzew - ArboNauta</t>
        </is>
      </c>
      <c r="D503" t="inlineStr">
        <is>
          <t>Firmy budowlane</t>
        </is>
      </c>
      <c r="E503" t="inlineStr">
        <is>
          <t>TOP (zielony)</t>
        </is>
      </c>
      <c r="G503" t="inlineStr">
        <is>
          <t>+48 785 185 807</t>
        </is>
      </c>
      <c r="J503" t="inlineStr">
        <is>
          <t>Przedpole 9</t>
        </is>
      </c>
      <c r="L503" t="inlineStr">
        <is>
          <t>Wlasciciel / Fachowiec</t>
        </is>
      </c>
      <c r="M503" t="n">
        <v>40</v>
      </c>
      <c r="N503" t="n">
        <v>5</v>
      </c>
      <c r="O503" t="inlineStr">
        <is>
          <t>Google Maps</t>
        </is>
      </c>
      <c r="P503" t="inlineStr">
        <is>
          <t>Nowa</t>
        </is>
      </c>
      <c r="S503" t="inlineStr">
        <is>
          <t>[FACHOWIEC - nie klient] Pielegnacja drzew. Google Maps: 5 gw. z 40 opinii.</t>
        </is>
      </c>
    </row>
    <row r="504">
      <c r="B504" s="34" t="n">
        <v>46135</v>
      </c>
      <c r="C504" t="inlineStr">
        <is>
          <t>RUDIDOM SPOLKA Z O.O.</t>
        </is>
      </c>
      <c r="D504" t="inlineStr">
        <is>
          <t>Firmy budowlane</t>
        </is>
      </c>
      <c r="E504" t="inlineStr">
        <is>
          <t>TOP (zielony)</t>
        </is>
      </c>
      <c r="G504" t="inlineStr">
        <is>
          <t>+48 728 960 347</t>
        </is>
      </c>
      <c r="J504" t="inlineStr">
        <is>
          <t>al. Jana Pawła II 27</t>
        </is>
      </c>
      <c r="L504" t="inlineStr">
        <is>
          <t>Wlasciciel / Fachowiec</t>
        </is>
      </c>
      <c r="M504" t="n">
        <v>296</v>
      </c>
      <c r="N504" t="n">
        <v>5</v>
      </c>
      <c r="O504" t="inlineStr">
        <is>
          <t>Google Maps</t>
        </is>
      </c>
      <c r="P504" t="inlineStr">
        <is>
          <t>Nowa</t>
        </is>
      </c>
      <c r="S504" t="inlineStr">
        <is>
          <t>[FACHOWIEC - nie klient] Pielegnacja drzew. Google Maps: 5 gw. z 296 opinii.</t>
        </is>
      </c>
    </row>
    <row r="505">
      <c r="B505" s="34" t="n">
        <v>46135</v>
      </c>
      <c r="C505" t="inlineStr">
        <is>
          <t>Debowy Patrol Zoliborz - pielegnacja i wycinka drzew, Warszawa i okolice</t>
        </is>
      </c>
      <c r="D505" t="inlineStr">
        <is>
          <t>Firmy budowlane</t>
        </is>
      </c>
      <c r="E505" t="inlineStr">
        <is>
          <t>Sredni (zolty)</t>
        </is>
      </c>
      <c r="G505" t="inlineStr">
        <is>
          <t>+48 694 366 607</t>
        </is>
      </c>
      <c r="J505" t="inlineStr">
        <is>
          <t>Mikołaja Gomołki 8</t>
        </is>
      </c>
      <c r="L505" t="inlineStr">
        <is>
          <t>Wlasciciel / Fachowiec</t>
        </is>
      </c>
      <c r="M505" t="n">
        <v>8</v>
      </c>
      <c r="N505" t="n">
        <v>5</v>
      </c>
      <c r="O505" t="inlineStr">
        <is>
          <t>Google Maps</t>
        </is>
      </c>
      <c r="P505" t="inlineStr">
        <is>
          <t>Nowa</t>
        </is>
      </c>
      <c r="S505" t="inlineStr">
        <is>
          <t>[FACHOWIEC - nie klient] Pielegnacja drzew. Google Maps: 5 gw. z 8 opinii.</t>
        </is>
      </c>
    </row>
    <row r="506">
      <c r="B506" s="34" t="n">
        <v>46135</v>
      </c>
      <c r="C506" t="inlineStr">
        <is>
          <t>Wycinka drzew &amp; Podnosnik koszowy &amp; Rebak &amp; Zielona Usługa</t>
        </is>
      </c>
      <c r="D506" t="inlineStr">
        <is>
          <t>Firmy budowlane</t>
        </is>
      </c>
      <c r="E506" t="inlineStr">
        <is>
          <t>TOP (zielony)</t>
        </is>
      </c>
      <c r="G506" t="inlineStr">
        <is>
          <t>+48 535 016 577</t>
        </is>
      </c>
      <c r="J506" t="inlineStr">
        <is>
          <t> · Kolejarska 28</t>
        </is>
      </c>
      <c r="L506" t="inlineStr">
        <is>
          <t>Wlasciciel / Fachowiec</t>
        </is>
      </c>
      <c r="M506" t="n">
        <v>21</v>
      </c>
      <c r="N506" t="n">
        <v>4.6</v>
      </c>
      <c r="O506" t="inlineStr">
        <is>
          <t>Google Maps</t>
        </is>
      </c>
      <c r="P506" t="inlineStr">
        <is>
          <t>Nowa</t>
        </is>
      </c>
      <c r="S506" t="inlineStr">
        <is>
          <t>[FACHOWIEC - nie klient] Pielegnacja drzew. Google Maps: 4.6 gw. z 21 opinii.</t>
        </is>
      </c>
    </row>
    <row r="507">
      <c r="B507" s="34" t="n">
        <v>46135</v>
      </c>
      <c r="C507" t="inlineStr">
        <is>
          <t>DRIADA - pielegnacja, przycinanie i wycinka drzew</t>
        </is>
      </c>
      <c r="D507" t="inlineStr">
        <is>
          <t>Firmy budowlane</t>
        </is>
      </c>
      <c r="E507" t="inlineStr">
        <is>
          <t>Sredni (zolty)</t>
        </is>
      </c>
      <c r="G507" t="inlineStr">
        <is>
          <t>+48 601 259 432</t>
        </is>
      </c>
      <c r="J507" t="inlineStr">
        <is>
          <t>Szczytowa 13A</t>
        </is>
      </c>
      <c r="L507" t="inlineStr">
        <is>
          <t>Wlasciciel / Fachowiec</t>
        </is>
      </c>
      <c r="M507" t="n">
        <v>10</v>
      </c>
      <c r="N507" t="n">
        <v>5</v>
      </c>
      <c r="O507" t="inlineStr">
        <is>
          <t>Google Maps</t>
        </is>
      </c>
      <c r="P507" t="inlineStr">
        <is>
          <t>Nowa</t>
        </is>
      </c>
      <c r="S507" t="inlineStr">
        <is>
          <t>[FACHOWIEC - nie klient] Pielegnacja drzew. Google Maps: 5 gw. z 10 opinii.</t>
        </is>
      </c>
    </row>
    <row r="508">
      <c r="B508" s="34" t="n">
        <v>46135</v>
      </c>
      <c r="C508" t="inlineStr">
        <is>
          <t>Drzwipol Drzwi Warszawa – Drzwi antywłamaniowe, Drzwi zewnetrzne, Montaz</t>
        </is>
      </c>
      <c r="D508" t="inlineStr">
        <is>
          <t>Firmy budowlane</t>
        </is>
      </c>
      <c r="E508" t="inlineStr">
        <is>
          <t>TOP (zielony)</t>
        </is>
      </c>
      <c r="G508" t="inlineStr">
        <is>
          <t>+48 22 490 30 18</t>
        </is>
      </c>
      <c r="J508" t="inlineStr">
        <is>
          <t> · Al. Solidarnosci 117/lok. 207</t>
        </is>
      </c>
      <c r="L508" t="inlineStr">
        <is>
          <t>Wlasciciel / Fachowiec</t>
        </is>
      </c>
      <c r="M508" t="n">
        <v>128</v>
      </c>
      <c r="N508" t="n">
        <v>4.8</v>
      </c>
      <c r="O508" t="inlineStr">
        <is>
          <t>Google Maps</t>
        </is>
      </c>
      <c r="P508" t="inlineStr">
        <is>
          <t>Nowa</t>
        </is>
      </c>
      <c r="S508" t="inlineStr">
        <is>
          <t>[FACHOWIEC - nie klient] Wymiana drzwi. Google Maps: 4.8 gw. z 128 opinii.</t>
        </is>
      </c>
    </row>
    <row r="509">
      <c r="B509" s="34" t="n">
        <v>46135</v>
      </c>
      <c r="C509" t="inlineStr">
        <is>
          <t>DobreDrzwiOkna.pl I drzwi wewnetrzne I drzwi zewnetrzne I okna plastikowe I z montazem Warszawa</t>
        </is>
      </c>
      <c r="D509" t="inlineStr">
        <is>
          <t>Firmy budowlane</t>
        </is>
      </c>
      <c r="E509" t="inlineStr">
        <is>
          <t>TOP (zielony)</t>
        </is>
      </c>
      <c r="G509" t="inlineStr">
        <is>
          <t>+48 22 422 14 14</t>
        </is>
      </c>
      <c r="J509" t="inlineStr">
        <is>
          <t> · Bukowinska 2/U8</t>
        </is>
      </c>
      <c r="L509" t="inlineStr">
        <is>
          <t>Wlasciciel / Fachowiec</t>
        </is>
      </c>
      <c r="M509" t="n">
        <v>259</v>
      </c>
      <c r="N509" t="n">
        <v>4.8</v>
      </c>
      <c r="O509" t="inlineStr">
        <is>
          <t>Google Maps</t>
        </is>
      </c>
      <c r="P509" t="inlineStr">
        <is>
          <t>Nowa</t>
        </is>
      </c>
      <c r="S509" t="inlineStr">
        <is>
          <t>[FACHOWIEC - nie klient] Wymiana drzwi. Google Maps: 4.8 gw. z 259 opinii.</t>
        </is>
      </c>
    </row>
    <row r="510">
      <c r="B510" s="34" t="n">
        <v>46135</v>
      </c>
      <c r="C510" t="inlineStr">
        <is>
          <t>SOLIDO DRZWI - Montaz i wymiana drzwi wejsciowych do mieszkania</t>
        </is>
      </c>
      <c r="D510" t="inlineStr">
        <is>
          <t>Firmy budowlane</t>
        </is>
      </c>
      <c r="E510" t="inlineStr">
        <is>
          <t>TOP (zielony)</t>
        </is>
      </c>
      <c r="G510" t="inlineStr">
        <is>
          <t>+48 695 894 897</t>
        </is>
      </c>
      <c r="J510" t="inlineStr">
        <is>
          <t>sw. Wincentego 16</t>
        </is>
      </c>
      <c r="L510" t="inlineStr">
        <is>
          <t>Wlasciciel / Fachowiec</t>
        </is>
      </c>
      <c r="M510" t="n">
        <v>47</v>
      </c>
      <c r="N510" t="n">
        <v>5</v>
      </c>
      <c r="O510" t="inlineStr">
        <is>
          <t>Google Maps</t>
        </is>
      </c>
      <c r="P510" t="inlineStr">
        <is>
          <t>Nowa</t>
        </is>
      </c>
      <c r="S510" t="inlineStr">
        <is>
          <t>[FACHOWIEC - nie klient] Wymiana drzwi. Google Maps: 5 gw. z 47 opinii.</t>
        </is>
      </c>
    </row>
    <row r="511">
      <c r="B511" s="34" t="n">
        <v>46135</v>
      </c>
      <c r="C511" t="inlineStr">
        <is>
          <t>Hermes | drzwi gerda w 48h</t>
        </is>
      </c>
      <c r="D511" t="inlineStr">
        <is>
          <t>Firmy budowlane</t>
        </is>
      </c>
      <c r="E511" t="inlineStr">
        <is>
          <t>TOP (zielony)</t>
        </is>
      </c>
      <c r="G511" t="inlineStr">
        <is>
          <t>+48 22 611 84 32</t>
        </is>
      </c>
      <c r="J511" t="inlineStr">
        <is>
          <t> · Sarmacka 20a/lok. 123</t>
        </is>
      </c>
      <c r="L511" t="inlineStr">
        <is>
          <t>Wlasciciel / Fachowiec</t>
        </is>
      </c>
      <c r="M511" t="n">
        <v>366</v>
      </c>
      <c r="N511" t="n">
        <v>4.8</v>
      </c>
      <c r="O511" t="inlineStr">
        <is>
          <t>Google Maps</t>
        </is>
      </c>
      <c r="P511" t="inlineStr">
        <is>
          <t>Nowa</t>
        </is>
      </c>
      <c r="S511" t="inlineStr">
        <is>
          <t>[FACHOWIEC - nie klient] Wymiana drzwi. Google Maps: 4.8 gw. z 366 opinii.</t>
        </is>
      </c>
    </row>
    <row r="512">
      <c r="B512" s="34" t="n">
        <v>46135</v>
      </c>
      <c r="C512" t="inlineStr">
        <is>
          <t>Doors4You, Brak Salonu z Ekspozycja.</t>
        </is>
      </c>
      <c r="D512" t="inlineStr">
        <is>
          <t>Firmy budowlane</t>
        </is>
      </c>
      <c r="E512" t="inlineStr">
        <is>
          <t>TOP (zielony)</t>
        </is>
      </c>
      <c r="G512" t="inlineStr">
        <is>
          <t>+48 570 808 096</t>
        </is>
      </c>
      <c r="J512" t="inlineStr">
        <is>
          <t>Zelazna 75A</t>
        </is>
      </c>
      <c r="L512" t="inlineStr">
        <is>
          <t>Wlasciciel / Fachowiec</t>
        </is>
      </c>
      <c r="M512" t="n">
        <v>119</v>
      </c>
      <c r="N512" t="n">
        <v>5</v>
      </c>
      <c r="O512" t="inlineStr">
        <is>
          <t>Google Maps</t>
        </is>
      </c>
      <c r="P512" t="inlineStr">
        <is>
          <t>Nowa</t>
        </is>
      </c>
      <c r="S512" t="inlineStr">
        <is>
          <t>[FACHOWIEC - nie klient] Wymiana drzwi. Google Maps: 5 gw. z 119 opinii.</t>
        </is>
      </c>
    </row>
    <row r="513">
      <c r="B513" s="34" t="n">
        <v>46135</v>
      </c>
      <c r="C513" t="inlineStr">
        <is>
          <t>Dorex</t>
        </is>
      </c>
      <c r="D513" t="inlineStr">
        <is>
          <t>Firmy budowlane</t>
        </is>
      </c>
      <c r="E513" t="inlineStr">
        <is>
          <t>TOP (zielony)</t>
        </is>
      </c>
      <c r="G513" t="inlineStr">
        <is>
          <t>+48 600 260 054</t>
        </is>
      </c>
      <c r="J513" t="inlineStr">
        <is>
          <t>Pod podanym adresem nie posiadamy sklepu stacjonarnego, Chodecka 18</t>
        </is>
      </c>
      <c r="L513" t="inlineStr">
        <is>
          <t>Wlasciciel / Fachowiec</t>
        </is>
      </c>
      <c r="M513" t="n">
        <v>41</v>
      </c>
      <c r="N513" t="n">
        <v>4.9</v>
      </c>
      <c r="O513" t="inlineStr">
        <is>
          <t>Google Maps</t>
        </is>
      </c>
      <c r="P513" t="inlineStr">
        <is>
          <t>Nowa</t>
        </is>
      </c>
      <c r="S513" t="inlineStr">
        <is>
          <t>[FACHOWIEC - nie klient] Wymiana drzwi. Google Maps: 4.9 gw. z 41 opinii.</t>
        </is>
      </c>
    </row>
    <row r="514">
      <c r="B514" s="34" t="n">
        <v>46135</v>
      </c>
      <c r="C514" t="inlineStr">
        <is>
          <t>Tanie Pranie - Pralnia Dywanow Warszawa - Sebastian Baczyk</t>
        </is>
      </c>
      <c r="D514" t="inlineStr">
        <is>
          <t>Firmy budowlane</t>
        </is>
      </c>
      <c r="E514" t="inlineStr">
        <is>
          <t>TOP (zielony)</t>
        </is>
      </c>
      <c r="G514" t="inlineStr">
        <is>
          <t>+48 668 348 884</t>
        </is>
      </c>
      <c r="J514" t="inlineStr">
        <is>
          <t> · Antoniego Brodowskiego 6</t>
        </is>
      </c>
      <c r="L514" t="inlineStr">
        <is>
          <t>Wlasciciel / Fachowiec</t>
        </is>
      </c>
      <c r="M514" t="n">
        <v>235</v>
      </c>
      <c r="N514" t="n">
        <v>5</v>
      </c>
      <c r="O514" t="inlineStr">
        <is>
          <t>Google Maps</t>
        </is>
      </c>
      <c r="P514" t="inlineStr">
        <is>
          <t>Nowa</t>
        </is>
      </c>
      <c r="S514" t="inlineStr">
        <is>
          <t>[FACHOWIEC - nie klient] Pralnia dywanow. Google Maps: 5 gw. z 235 opinii.</t>
        </is>
      </c>
    </row>
    <row r="515">
      <c r="B515" s="34" t="n">
        <v>46135</v>
      </c>
      <c r="C515" t="inlineStr">
        <is>
          <t>Pralnia dywanow Zgłos Pranie Warszawa</t>
        </is>
      </c>
      <c r="D515" t="inlineStr">
        <is>
          <t>Firmy budowlane</t>
        </is>
      </c>
      <c r="E515" t="inlineStr">
        <is>
          <t>TOP (zielony)</t>
        </is>
      </c>
      <c r="G515" t="inlineStr">
        <is>
          <t>+48 503 143 103</t>
        </is>
      </c>
      <c r="J515" t="inlineStr">
        <is>
          <t>Al. Prymasa Tysiaclecia 76E</t>
        </is>
      </c>
      <c r="L515" t="inlineStr">
        <is>
          <t>Wlasciciel / Fachowiec</t>
        </is>
      </c>
      <c r="M515" t="n">
        <v>113</v>
      </c>
      <c r="N515" t="n">
        <v>4.4</v>
      </c>
      <c r="O515" t="inlineStr">
        <is>
          <t>Google Maps</t>
        </is>
      </c>
      <c r="P515" t="inlineStr">
        <is>
          <t>Nowa</t>
        </is>
      </c>
      <c r="S515" t="inlineStr">
        <is>
          <t>[FACHOWIEC - nie klient] Pralnia dywanow. Google Maps: 4.4 gw. z 113 opinii.</t>
        </is>
      </c>
    </row>
    <row r="516">
      <c r="B516" s="34" t="n">
        <v>46135</v>
      </c>
      <c r="C516" t="inlineStr">
        <is>
          <t>Pralnia Czyste-dywany</t>
        </is>
      </c>
      <c r="D516" t="inlineStr">
        <is>
          <t>Firmy budowlane</t>
        </is>
      </c>
      <c r="E516" t="inlineStr">
        <is>
          <t>TOP (zielony)</t>
        </is>
      </c>
      <c r="G516" t="inlineStr">
        <is>
          <t>+48 518 232 606</t>
        </is>
      </c>
      <c r="J516" t="inlineStr">
        <is>
          <t> · Wawozowa 36/18</t>
        </is>
      </c>
      <c r="L516" t="inlineStr">
        <is>
          <t>Wlasciciel / Fachowiec</t>
        </is>
      </c>
      <c r="M516" t="n">
        <v>45</v>
      </c>
      <c r="N516" t="n">
        <v>4.5</v>
      </c>
      <c r="O516" t="inlineStr">
        <is>
          <t>Google Maps</t>
        </is>
      </c>
      <c r="P516" t="inlineStr">
        <is>
          <t>Nowa</t>
        </is>
      </c>
      <c r="S516" t="inlineStr">
        <is>
          <t>[FACHOWIEC - nie klient] Pralnia dywanow. Google Maps: 4.5 gw. z 45 opinii.</t>
        </is>
      </c>
    </row>
    <row r="517">
      <c r="B517" s="34" t="n">
        <v>46135</v>
      </c>
      <c r="C517" t="inlineStr">
        <is>
          <t>Bearman PRALNIA DYWANOW Warszawa</t>
        </is>
      </c>
      <c r="D517" t="inlineStr">
        <is>
          <t>Firmy budowlane</t>
        </is>
      </c>
      <c r="E517" t="inlineStr">
        <is>
          <t>TOP (zielony)</t>
        </is>
      </c>
      <c r="G517" t="inlineStr">
        <is>
          <t>+48 608 104 894</t>
        </is>
      </c>
      <c r="J517" t="inlineStr">
        <is>
          <t>Powstancow Slaskich 104</t>
        </is>
      </c>
      <c r="L517" t="inlineStr">
        <is>
          <t>Wlasciciel / Fachowiec</t>
        </is>
      </c>
      <c r="M517" t="n">
        <v>33</v>
      </c>
      <c r="N517" t="n">
        <v>4.9</v>
      </c>
      <c r="O517" t="inlineStr">
        <is>
          <t>Google Maps</t>
        </is>
      </c>
      <c r="P517" t="inlineStr">
        <is>
          <t>Nowa</t>
        </is>
      </c>
      <c r="S517" t="inlineStr">
        <is>
          <t>[FACHOWIEC - nie klient] Pralnia dywanow. Google Maps: 4.9 gw. z 33 opinii.</t>
        </is>
      </c>
    </row>
    <row r="518">
      <c r="B518" s="34" t="n">
        <v>46135</v>
      </c>
      <c r="C518" t="inlineStr">
        <is>
          <t>Dywan Box - Pralnia Dywanow - pranie dywanow Warszawa</t>
        </is>
      </c>
      <c r="D518" t="inlineStr">
        <is>
          <t>Firmy budowlane</t>
        </is>
      </c>
      <c r="E518" t="inlineStr">
        <is>
          <t>TOP (zielony)</t>
        </is>
      </c>
      <c r="G518" t="inlineStr">
        <is>
          <t>+48 573 581 059</t>
        </is>
      </c>
      <c r="J518" t="inlineStr">
        <is>
          <t> · Jana Kazimierza 46/LU1</t>
        </is>
      </c>
      <c r="L518" t="inlineStr">
        <is>
          <t>Wlasciciel / Fachowiec</t>
        </is>
      </c>
      <c r="M518" t="n">
        <v>118</v>
      </c>
      <c r="N518" t="n">
        <v>4.5</v>
      </c>
      <c r="O518" t="inlineStr">
        <is>
          <t>Google Maps</t>
        </is>
      </c>
      <c r="P518" t="inlineStr">
        <is>
          <t>Nowa</t>
        </is>
      </c>
      <c r="S518" t="inlineStr">
        <is>
          <t>[FACHOWIEC - nie klient] Pralnia dywanow. Google Maps: 4.5 gw. z 118 opinii.</t>
        </is>
      </c>
    </row>
    <row r="519">
      <c r="B519" s="34" t="n">
        <v>46135</v>
      </c>
      <c r="C519" t="inlineStr">
        <is>
          <t>Pralnia Dywanow Admar - pranie dywanow - czyszczenie tapicerki - Marki</t>
        </is>
      </c>
      <c r="D519" t="inlineStr">
        <is>
          <t>Firmy budowlane</t>
        </is>
      </c>
      <c r="E519" t="inlineStr">
        <is>
          <t>TOP (zielony)</t>
        </is>
      </c>
      <c r="G519" t="inlineStr">
        <is>
          <t>+48 514 993 484</t>
        </is>
      </c>
      <c r="J519" t="inlineStr">
        <is>
          <t> · Stanisława Zołkiewskiego 8A</t>
        </is>
      </c>
      <c r="L519" t="inlineStr">
        <is>
          <t>Wlasciciel / Fachowiec</t>
        </is>
      </c>
      <c r="M519" t="n">
        <v>230</v>
      </c>
      <c r="N519" t="n">
        <v>4.9</v>
      </c>
      <c r="O519" t="inlineStr">
        <is>
          <t>Google Maps</t>
        </is>
      </c>
      <c r="P519" t="inlineStr">
        <is>
          <t>Nowa</t>
        </is>
      </c>
      <c r="S519" t="inlineStr">
        <is>
          <t>[FACHOWIEC - nie klient] Pralnia dywanow. Google Maps: 4.9 gw. z 230 opinii.</t>
        </is>
      </c>
    </row>
    <row r="520">
      <c r="B520" s="34" t="n">
        <v>46135</v>
      </c>
      <c r="C520" t="inlineStr">
        <is>
          <t>POSADZKI ARTYSTYCZNE - posadzki zywiczne i dekoracyjne</t>
        </is>
      </c>
      <c r="D520" t="inlineStr">
        <is>
          <t>Firmy budowlane</t>
        </is>
      </c>
      <c r="E520" t="inlineStr">
        <is>
          <t>TOP (zielony)</t>
        </is>
      </c>
      <c r="G520" t="inlineStr">
        <is>
          <t>+48 607 337 948</t>
        </is>
      </c>
      <c r="J520" t="inlineStr">
        <is>
          <t>Lazurowa 10/lok. 20</t>
        </is>
      </c>
      <c r="L520" t="inlineStr">
        <is>
          <t>Wlasciciel / Fachowiec</t>
        </is>
      </c>
      <c r="M520" t="n">
        <v>25</v>
      </c>
      <c r="N520" t="n">
        <v>4.4</v>
      </c>
      <c r="O520" t="inlineStr">
        <is>
          <t>Google Maps</t>
        </is>
      </c>
      <c r="P520" t="inlineStr">
        <is>
          <t>Nowa</t>
        </is>
      </c>
      <c r="S520" t="inlineStr">
        <is>
          <t>[FACHOWIEC - nie klient] Posadzki zywiczne. Google Maps: 4.4 gw. z 25 opinii.</t>
        </is>
      </c>
    </row>
    <row r="521">
      <c r="B521" s="34" t="n">
        <v>46135</v>
      </c>
      <c r="C521" t="inlineStr">
        <is>
          <t>Damko - Mikrocement, zywice, tynki dekoracyjne</t>
        </is>
      </c>
      <c r="D521" t="inlineStr">
        <is>
          <t>Firmy budowlane</t>
        </is>
      </c>
      <c r="E521" t="inlineStr">
        <is>
          <t>TOP (zielony)</t>
        </is>
      </c>
      <c r="G521" t="inlineStr">
        <is>
          <t>+48 730 190 130</t>
        </is>
      </c>
      <c r="J521" t="inlineStr">
        <is>
          <t>Opoczynska 3</t>
        </is>
      </c>
      <c r="L521" t="inlineStr">
        <is>
          <t>Wlasciciel / Fachowiec</t>
        </is>
      </c>
      <c r="M521" t="n">
        <v>36</v>
      </c>
      <c r="N521" t="n">
        <v>4.8</v>
      </c>
      <c r="O521" t="inlineStr">
        <is>
          <t>Google Maps</t>
        </is>
      </c>
      <c r="P521" t="inlineStr">
        <is>
          <t>Nowa</t>
        </is>
      </c>
      <c r="S521" t="inlineStr">
        <is>
          <t>[FACHOWIEC - nie klient] Posadzki zywiczne. Google Maps: 4.8 gw. z 36 opinii.</t>
        </is>
      </c>
    </row>
    <row r="522">
      <c r="B522" s="34" t="n">
        <v>46135</v>
      </c>
      <c r="C522" t="inlineStr">
        <is>
          <t>Posadzki Zywiczne oraz Drukowanie Obrazu na Scianie Mix-bud</t>
        </is>
      </c>
      <c r="D522" t="inlineStr">
        <is>
          <t>Firmy budowlane</t>
        </is>
      </c>
      <c r="E522" t="inlineStr">
        <is>
          <t>Sredni (zolty)</t>
        </is>
      </c>
      <c r="G522" t="inlineStr">
        <is>
          <t>+48 512 059 148</t>
        </is>
      </c>
      <c r="J522" t="inlineStr">
        <is>
          <t>Mariana Keniga 15</t>
        </is>
      </c>
      <c r="L522" t="inlineStr">
        <is>
          <t>Wlasciciel / Fachowiec</t>
        </is>
      </c>
      <c r="M522" t="n">
        <v>11</v>
      </c>
      <c r="N522" t="n">
        <v>4.8</v>
      </c>
      <c r="O522" t="inlineStr">
        <is>
          <t>Google Maps</t>
        </is>
      </c>
      <c r="P522" t="inlineStr">
        <is>
          <t>Nowa</t>
        </is>
      </c>
      <c r="S522" t="inlineStr">
        <is>
          <t>[FACHOWIEC - nie klient] Posadzki zywiczne. Google Maps: 4.8 gw. z 11 opinii.</t>
        </is>
      </c>
    </row>
    <row r="523">
      <c r="B523" s="34" t="n">
        <v>46135</v>
      </c>
      <c r="C523" t="inlineStr">
        <is>
          <t>Posadzki zywiczne, mikrocement Keram - Marek Wielgos</t>
        </is>
      </c>
      <c r="D523" t="inlineStr">
        <is>
          <t>Firmy budowlane</t>
        </is>
      </c>
      <c r="E523" t="inlineStr">
        <is>
          <t>TOP (zielony)</t>
        </is>
      </c>
      <c r="G523" t="inlineStr">
        <is>
          <t>+48 535 855 058</t>
        </is>
      </c>
      <c r="J523" t="inlineStr">
        <is>
          <t>Słowika 8/2</t>
        </is>
      </c>
      <c r="L523" t="inlineStr">
        <is>
          <t>Wlasciciel / Fachowiec</t>
        </is>
      </c>
      <c r="M523" t="n">
        <v>28</v>
      </c>
      <c r="N523" t="n">
        <v>4.9</v>
      </c>
      <c r="O523" t="inlineStr">
        <is>
          <t>Google Maps</t>
        </is>
      </c>
      <c r="P523" t="inlineStr">
        <is>
          <t>Nowa</t>
        </is>
      </c>
      <c r="S523" t="inlineStr">
        <is>
          <t>[FACHOWIEC - nie klient] Posadzki zywiczne. Google Maps: 4.9 gw. z 28 opinii.</t>
        </is>
      </c>
    </row>
    <row r="524">
      <c r="B524" s="34" t="n">
        <v>46135</v>
      </c>
      <c r="C524" t="inlineStr">
        <is>
          <t>Multi-Floor - Posadzki zywiczne Warszawa</t>
        </is>
      </c>
      <c r="D524" t="inlineStr">
        <is>
          <t>Firmy budowlane</t>
        </is>
      </c>
      <c r="E524" t="inlineStr">
        <is>
          <t>Sredni (zolty)</t>
        </is>
      </c>
      <c r="G524" t="inlineStr">
        <is>
          <t>+48 503 774 196</t>
        </is>
      </c>
      <c r="J524" t="inlineStr">
        <is>
          <t>Bokserska 64/120</t>
        </is>
      </c>
      <c r="L524" t="inlineStr">
        <is>
          <t>Wlasciciel / Fachowiec</t>
        </is>
      </c>
      <c r="M524" t="n">
        <v>5</v>
      </c>
      <c r="N524" t="n">
        <v>4.2</v>
      </c>
      <c r="O524" t="inlineStr">
        <is>
          <t>Google Maps</t>
        </is>
      </c>
      <c r="P524" t="inlineStr">
        <is>
          <t>Nowa</t>
        </is>
      </c>
      <c r="S524" t="inlineStr">
        <is>
          <t>[FACHOWIEC - nie klient] Posadzki zywiczne. Google Maps: 4.2 gw. z 5 opinii.</t>
        </is>
      </c>
    </row>
    <row r="525">
      <c r="B525" s="34" t="n">
        <v>46135</v>
      </c>
      <c r="C525" t="inlineStr">
        <is>
          <t>Multikor - wykładziny, posadzki zywiczne Warszawa</t>
        </is>
      </c>
      <c r="D525" t="inlineStr">
        <is>
          <t>Firmy budowlane</t>
        </is>
      </c>
      <c r="E525" t="inlineStr">
        <is>
          <t>TOP (zielony)</t>
        </is>
      </c>
      <c r="G525" t="inlineStr">
        <is>
          <t>+48 502 129 249</t>
        </is>
      </c>
      <c r="J525" t="inlineStr">
        <is>
          <t>Instalatorow 17</t>
        </is>
      </c>
      <c r="L525" t="inlineStr">
        <is>
          <t>Wlasciciel / Fachowiec</t>
        </is>
      </c>
      <c r="M525" t="n">
        <v>34</v>
      </c>
      <c r="N525" t="n">
        <v>5</v>
      </c>
      <c r="O525" t="inlineStr">
        <is>
          <t>Google Maps</t>
        </is>
      </c>
      <c r="P525" t="inlineStr">
        <is>
          <t>Nowa</t>
        </is>
      </c>
      <c r="S525" t="inlineStr">
        <is>
          <t>[FACHOWIEC - nie klient] Posadzki zywiczne. Google Maps: 5 gw. z 34 opinii.</t>
        </is>
      </c>
    </row>
    <row r="526">
      <c r="B526" s="34" t="n">
        <v>46135</v>
      </c>
      <c r="C526" t="inlineStr">
        <is>
          <t>ACFloor Posadzki dekoracyjne lastryko-terrazzo, betonowe i zywiczne</t>
        </is>
      </c>
      <c r="D526" t="inlineStr">
        <is>
          <t>Firmy budowlane</t>
        </is>
      </c>
      <c r="E526" t="inlineStr">
        <is>
          <t>Sredni (zolty)</t>
        </is>
      </c>
      <c r="G526" t="inlineStr">
        <is>
          <t>+48 606 920 255</t>
        </is>
      </c>
      <c r="J526" t="inlineStr">
        <is>
          <t>11 Listopada 27</t>
        </is>
      </c>
      <c r="L526" t="inlineStr">
        <is>
          <t>Wlasciciel / Fachowiec</t>
        </is>
      </c>
      <c r="M526" t="n">
        <v>6</v>
      </c>
      <c r="N526" t="n">
        <v>4.2</v>
      </c>
      <c r="O526" t="inlineStr">
        <is>
          <t>Google Maps</t>
        </is>
      </c>
      <c r="P526" t="inlineStr">
        <is>
          <t>Nowa</t>
        </is>
      </c>
      <c r="S526" t="inlineStr">
        <is>
          <t>[FACHOWIEC - nie klient] Posadzki zywiczne. Google Maps: 4.2 gw. z 6 opinii.</t>
        </is>
      </c>
    </row>
    <row r="527">
      <c r="B527" s="34" t="n">
        <v>46135</v>
      </c>
      <c r="C527" t="inlineStr">
        <is>
          <t>🔺CYKLINOWANIE | PARKIETY | FHU KRZYSZTOF BARECKI</t>
        </is>
      </c>
      <c r="D527" t="inlineStr">
        <is>
          <t>Firmy budowlane</t>
        </is>
      </c>
      <c r="E527" t="inlineStr">
        <is>
          <t>TOP (zielony)</t>
        </is>
      </c>
      <c r="G527" t="inlineStr">
        <is>
          <t>+48 664 982 418</t>
        </is>
      </c>
      <c r="J527" t="inlineStr">
        <is>
          <t>Marcina Kasprzaka 31/lok. 119</t>
        </is>
      </c>
      <c r="L527" t="inlineStr">
        <is>
          <t>Wlasciciel / Fachowiec</t>
        </is>
      </c>
      <c r="M527" t="n">
        <v>268</v>
      </c>
      <c r="N527" t="n">
        <v>4.9</v>
      </c>
      <c r="O527" t="inlineStr">
        <is>
          <t>Google Maps</t>
        </is>
      </c>
      <c r="P527" t="inlineStr">
        <is>
          <t>Nowa</t>
        </is>
      </c>
      <c r="S527" t="inlineStr">
        <is>
          <t>[FACHOWIEC - nie klient] Cyklinowanie parkietow. Google Maps: 4.9 gw. z 268 opinii.</t>
        </is>
      </c>
    </row>
    <row r="528">
      <c r="B528" s="34" t="n">
        <v>46135</v>
      </c>
      <c r="C528" t="inlineStr">
        <is>
          <t>Cyklinowanie Podłogi Renowacja Parkietu Łukasz Janowski</t>
        </is>
      </c>
      <c r="D528" t="inlineStr">
        <is>
          <t>Firmy budowlane</t>
        </is>
      </c>
      <c r="E528" t="inlineStr">
        <is>
          <t>TOP (zielony)</t>
        </is>
      </c>
      <c r="G528" t="inlineStr">
        <is>
          <t>+48 534 501 726</t>
        </is>
      </c>
      <c r="J528" t="inlineStr">
        <is>
          <t>Krasnobrodzka 2</t>
        </is>
      </c>
      <c r="L528" t="inlineStr">
        <is>
          <t>Wlasciciel / Fachowiec</t>
        </is>
      </c>
      <c r="M528" t="n">
        <v>114</v>
      </c>
      <c r="N528" t="n">
        <v>4.8</v>
      </c>
      <c r="O528" t="inlineStr">
        <is>
          <t>Google Maps</t>
        </is>
      </c>
      <c r="P528" t="inlineStr">
        <is>
          <t>Nowa</t>
        </is>
      </c>
      <c r="S528" t="inlineStr">
        <is>
          <t>[FACHOWIEC - nie klient] Cyklinowanie parkietow. Google Maps: 4.8 gw. z 114 opinii.</t>
        </is>
      </c>
    </row>
    <row r="529">
      <c r="B529" s="34" t="n">
        <v>46135</v>
      </c>
      <c r="C529" t="inlineStr">
        <is>
          <t>Foks-Bud CYKLINOWANIE Warszawa - Renowacja podłog i parkietu</t>
        </is>
      </c>
      <c r="D529" t="inlineStr">
        <is>
          <t>Firmy budowlane</t>
        </is>
      </c>
      <c r="E529" t="inlineStr">
        <is>
          <t>TOP (zielony)</t>
        </is>
      </c>
      <c r="G529" t="inlineStr">
        <is>
          <t>+48 501 637 655</t>
        </is>
      </c>
      <c r="J529" t="inlineStr">
        <is>
          <t> · Wolnej Wszechnicy 45</t>
        </is>
      </c>
      <c r="L529" t="inlineStr">
        <is>
          <t>Wlasciciel / Fachowiec</t>
        </is>
      </c>
      <c r="M529" t="n">
        <v>115</v>
      </c>
      <c r="N529" t="n">
        <v>4.5</v>
      </c>
      <c r="O529" t="inlineStr">
        <is>
          <t>Google Maps</t>
        </is>
      </c>
      <c r="P529" t="inlineStr">
        <is>
          <t>Nowa</t>
        </is>
      </c>
      <c r="S529" t="inlineStr">
        <is>
          <t>[FACHOWIEC - nie klient] Cyklinowanie parkietow. Google Maps: 4.5 gw. z 115 opinii.</t>
        </is>
      </c>
    </row>
    <row r="530">
      <c r="B530" s="34" t="n">
        <v>46135</v>
      </c>
      <c r="C530" t="inlineStr">
        <is>
          <t>SMARTPARKIET 🟧 Trembinski | Cyklinowanie metoda SMART - bezpyłowe, renowacja parkietu Warszawa</t>
        </is>
      </c>
      <c r="D530" t="inlineStr">
        <is>
          <t>Firmy budowlane</t>
        </is>
      </c>
      <c r="E530" t="inlineStr">
        <is>
          <t>TOP (zielony)</t>
        </is>
      </c>
      <c r="G530" t="inlineStr">
        <is>
          <t>+48 602 242 815</t>
        </is>
      </c>
      <c r="J530" t="inlineStr">
        <is>
          <t> · Suflerska 4</t>
        </is>
      </c>
      <c r="L530" t="inlineStr">
        <is>
          <t>Wlasciciel / Fachowiec</t>
        </is>
      </c>
      <c r="M530" t="n">
        <v>144</v>
      </c>
      <c r="N530" t="n">
        <v>5</v>
      </c>
      <c r="O530" t="inlineStr">
        <is>
          <t>Google Maps</t>
        </is>
      </c>
      <c r="P530" t="inlineStr">
        <is>
          <t>Nowa</t>
        </is>
      </c>
      <c r="S530" t="inlineStr">
        <is>
          <t>[FACHOWIEC - nie klient] Cyklinowanie parkietow. Google Maps: 5 gw. z 144 opinii.</t>
        </is>
      </c>
    </row>
    <row r="531">
      <c r="B531" s="34" t="n">
        <v>46135</v>
      </c>
      <c r="C531" t="inlineStr">
        <is>
          <t>Renowacja i Cyklinowanie Parkietow Warszawa | EKG Parkiet</t>
        </is>
      </c>
      <c r="D531" t="inlineStr">
        <is>
          <t>Firmy budowlane</t>
        </is>
      </c>
      <c r="E531" t="inlineStr">
        <is>
          <t>TOP (zielony)</t>
        </is>
      </c>
      <c r="G531" t="inlineStr">
        <is>
          <t>+48 780 445 512</t>
        </is>
      </c>
      <c r="J531" t="inlineStr">
        <is>
          <t>Bartycka 24/26/paw. 51</t>
        </is>
      </c>
      <c r="L531" t="inlineStr">
        <is>
          <t>Wlasciciel / Fachowiec</t>
        </is>
      </c>
      <c r="M531" t="n">
        <v>62</v>
      </c>
      <c r="N531" t="n">
        <v>5</v>
      </c>
      <c r="O531" t="inlineStr">
        <is>
          <t>Google Maps</t>
        </is>
      </c>
      <c r="P531" t="inlineStr">
        <is>
          <t>Nowa</t>
        </is>
      </c>
      <c r="S531" t="inlineStr">
        <is>
          <t>[FACHOWIEC - nie klient] Cyklinowanie parkietow. Google Maps: 5 gw. z 62 opinii.</t>
        </is>
      </c>
    </row>
    <row r="532">
      <c r="B532" s="34" t="n">
        <v>46135</v>
      </c>
      <c r="C532" t="inlineStr">
        <is>
          <t>Wood Concept cyklinowanie Warszawa</t>
        </is>
      </c>
      <c r="D532" t="inlineStr">
        <is>
          <t>Firmy budowlane</t>
        </is>
      </c>
      <c r="E532" t="inlineStr">
        <is>
          <t>TOP (zielony)</t>
        </is>
      </c>
      <c r="G532" t="inlineStr">
        <is>
          <t>+48 602 123 564</t>
        </is>
      </c>
      <c r="J532" t="inlineStr">
        <is>
          <t>Melchiora Wankowicza 5</t>
        </is>
      </c>
      <c r="L532" t="inlineStr">
        <is>
          <t>Wlasciciel / Fachowiec</t>
        </is>
      </c>
      <c r="M532" t="n">
        <v>67</v>
      </c>
      <c r="N532" t="n">
        <v>5</v>
      </c>
      <c r="O532" t="inlineStr">
        <is>
          <t>Google Maps</t>
        </is>
      </c>
      <c r="P532" t="inlineStr">
        <is>
          <t>Nowa</t>
        </is>
      </c>
      <c r="S532" t="inlineStr">
        <is>
          <t>[FACHOWIEC - nie klient] Cyklinowanie parkietow. Google Maps: 5 gw. z 67 opinii.</t>
        </is>
      </c>
    </row>
    <row r="533">
      <c r="B533" s="34" t="n">
        <v>46135</v>
      </c>
      <c r="C533" t="inlineStr">
        <is>
          <t>Serwis bram 24H automatyka do bram</t>
        </is>
      </c>
      <c r="D533" t="inlineStr">
        <is>
          <t>Firmy budowlane</t>
        </is>
      </c>
      <c r="E533" t="inlineStr">
        <is>
          <t>TOP (zielony)</t>
        </is>
      </c>
      <c r="G533" t="inlineStr">
        <is>
          <t>+48 535 881 790</t>
        </is>
      </c>
      <c r="J533" t="inlineStr">
        <is>
          <t>Mirabelki 4/19</t>
        </is>
      </c>
      <c r="L533" t="inlineStr">
        <is>
          <t>Wlasciciel / Fachowiec</t>
        </is>
      </c>
      <c r="M533" t="n">
        <v>107</v>
      </c>
      <c r="N533" t="n">
        <v>4.8</v>
      </c>
      <c r="O533" t="inlineStr">
        <is>
          <t>Google Maps</t>
        </is>
      </c>
      <c r="P533" t="inlineStr">
        <is>
          <t>Nowa</t>
        </is>
      </c>
      <c r="S533" t="inlineStr">
        <is>
          <t>[FACHOWIEC - nie klient] Bramy garazowe. Google Maps: 4.8 gw. z 107 opinii.</t>
        </is>
      </c>
    </row>
    <row r="534">
      <c r="B534" s="34" t="n">
        <v>46135</v>
      </c>
      <c r="C534" t="inlineStr">
        <is>
          <t>Serwis Bram</t>
        </is>
      </c>
      <c r="D534" t="inlineStr">
        <is>
          <t>Firmy budowlane</t>
        </is>
      </c>
      <c r="E534" t="inlineStr">
        <is>
          <t>TOP (zielony)</t>
        </is>
      </c>
      <c r="G534" t="inlineStr">
        <is>
          <t>+48 889 301 879</t>
        </is>
      </c>
      <c r="J534" t="inlineStr">
        <is>
          <t>Skarbka z Gor 144B</t>
        </is>
      </c>
      <c r="L534" t="inlineStr">
        <is>
          <t>Wlasciciel / Fachowiec</t>
        </is>
      </c>
      <c r="M534" t="n">
        <v>34</v>
      </c>
      <c r="N534" t="n">
        <v>5</v>
      </c>
      <c r="O534" t="inlineStr">
        <is>
          <t>Google Maps</t>
        </is>
      </c>
      <c r="P534" t="inlineStr">
        <is>
          <t>Nowa</t>
        </is>
      </c>
      <c r="S534" t="inlineStr">
        <is>
          <t>[FACHOWIEC - nie klient] Bramy garazowe. Google Maps: 5 gw. z 34 opinii.</t>
        </is>
      </c>
    </row>
    <row r="535">
      <c r="B535" s="34" t="n">
        <v>46135</v>
      </c>
      <c r="C535" t="inlineStr">
        <is>
          <t>BWOMARS Bramy Hormann Drzwi Napedy Montaz</t>
        </is>
      </c>
      <c r="D535" t="inlineStr">
        <is>
          <t>Firmy budowlane</t>
        </is>
      </c>
      <c r="E535" t="inlineStr">
        <is>
          <t>TOP (zielony)</t>
        </is>
      </c>
      <c r="G535" t="inlineStr">
        <is>
          <t>+48 693 622 840</t>
        </is>
      </c>
      <c r="J535" t="inlineStr">
        <is>
          <t> · Marsa 33</t>
        </is>
      </c>
      <c r="L535" t="inlineStr">
        <is>
          <t>Wlasciciel / Fachowiec</t>
        </is>
      </c>
      <c r="M535" t="n">
        <v>49</v>
      </c>
      <c r="N535" t="n">
        <v>4.8</v>
      </c>
      <c r="O535" t="inlineStr">
        <is>
          <t>Google Maps</t>
        </is>
      </c>
      <c r="P535" t="inlineStr">
        <is>
          <t>Nowa</t>
        </is>
      </c>
      <c r="S535" t="inlineStr">
        <is>
          <t>[FACHOWIEC - nie klient] Bramy garazowe. Google Maps: 4.8 gw. z 49 opinii.</t>
        </is>
      </c>
    </row>
    <row r="536">
      <c r="B536" s="34" t="n">
        <v>46135</v>
      </c>
      <c r="C536" t="inlineStr">
        <is>
          <t>Napedy Do Bram "Gałecki" - Automaty Do Bram | Serwis I Naprawa Bram | Bramy Garazowe Warszawa</t>
        </is>
      </c>
      <c r="D536" t="inlineStr">
        <is>
          <t>Firmy budowlane</t>
        </is>
      </c>
      <c r="E536" t="inlineStr">
        <is>
          <t>TOP (zielony)</t>
        </is>
      </c>
      <c r="G536" t="inlineStr">
        <is>
          <t>+48 602 828 282</t>
        </is>
      </c>
      <c r="J536" t="inlineStr">
        <is>
          <t>Radzyminska 275</t>
        </is>
      </c>
      <c r="L536" t="inlineStr">
        <is>
          <t>Wlasciciel / Fachowiec</t>
        </is>
      </c>
      <c r="M536" t="n">
        <v>24</v>
      </c>
      <c r="N536" t="n">
        <v>4.7</v>
      </c>
      <c r="O536" t="inlineStr">
        <is>
          <t>Google Maps</t>
        </is>
      </c>
      <c r="P536" t="inlineStr">
        <is>
          <t>Nowa</t>
        </is>
      </c>
      <c r="S536" t="inlineStr">
        <is>
          <t>[FACHOWIEC - nie klient] Bramy garazowe. Google Maps: 4.7 gw. z 24 opinii.</t>
        </is>
      </c>
    </row>
    <row r="537">
      <c r="B537" s="34" t="n">
        <v>46135</v>
      </c>
      <c r="C537" t="inlineStr">
        <is>
          <t>BRAMSTAL.PL</t>
        </is>
      </c>
      <c r="D537" t="inlineStr">
        <is>
          <t>Firmy budowlane</t>
        </is>
      </c>
      <c r="E537" t="inlineStr">
        <is>
          <t>Sredni (zolty)</t>
        </is>
      </c>
      <c r="G537" t="inlineStr">
        <is>
          <t>+48 603 589 919</t>
        </is>
      </c>
      <c r="J537" t="inlineStr">
        <is>
          <t>Seczkowa 96A</t>
        </is>
      </c>
      <c r="L537" t="inlineStr">
        <is>
          <t>Wlasciciel / Fachowiec</t>
        </is>
      </c>
      <c r="M537" t="n">
        <v>14</v>
      </c>
      <c r="N537" t="n">
        <v>4.3</v>
      </c>
      <c r="O537" t="inlineStr">
        <is>
          <t>Google Maps</t>
        </is>
      </c>
      <c r="P537" t="inlineStr">
        <is>
          <t>Nowa</t>
        </is>
      </c>
      <c r="S537" t="inlineStr">
        <is>
          <t>[FACHOWIEC - nie klient] Bramy garazowe. Google Maps: 4.3 gw. z 14 opinii.</t>
        </is>
      </c>
    </row>
    <row r="538">
      <c r="B538" s="34" t="n">
        <v>46135</v>
      </c>
      <c r="C538" t="inlineStr">
        <is>
          <t>Bramatic</t>
        </is>
      </c>
      <c r="D538" t="inlineStr">
        <is>
          <t>Firmy budowlane</t>
        </is>
      </c>
      <c r="E538" t="inlineStr">
        <is>
          <t>TOP (zielony)</t>
        </is>
      </c>
      <c r="G538" t="inlineStr">
        <is>
          <t>+48 22 612 40 11</t>
        </is>
      </c>
      <c r="J538" t="inlineStr">
        <is>
          <t> · Grochowska 45/B</t>
        </is>
      </c>
      <c r="L538" t="inlineStr">
        <is>
          <t>Wlasciciel / Fachowiec</t>
        </is>
      </c>
      <c r="M538" t="n">
        <v>36</v>
      </c>
      <c r="N538" t="n">
        <v>4.7</v>
      </c>
      <c r="O538" t="inlineStr">
        <is>
          <t>Google Maps</t>
        </is>
      </c>
      <c r="P538" t="inlineStr">
        <is>
          <t>Nowa</t>
        </is>
      </c>
      <c r="S538" t="inlineStr">
        <is>
          <t>[FACHOWIEC - nie klient] Bramy garazowe. Google Maps: 4.7 gw. z 36 opinii.</t>
        </is>
      </c>
    </row>
    <row r="539">
      <c r="B539" s="34" t="n">
        <v>46135</v>
      </c>
      <c r="C539" t="inlineStr">
        <is>
          <t>Veled Hormann Warszawa Wawer - Okna, bramy, drzwi</t>
        </is>
      </c>
      <c r="D539" t="inlineStr">
        <is>
          <t>Firmy budowlane</t>
        </is>
      </c>
      <c r="E539" t="inlineStr">
        <is>
          <t>TOP (zielony)</t>
        </is>
      </c>
      <c r="G539" t="inlineStr">
        <is>
          <t>+48 692 773 139</t>
        </is>
      </c>
      <c r="J539" t="inlineStr">
        <is>
          <t>Patriotow 160/7</t>
        </is>
      </c>
      <c r="L539" t="inlineStr">
        <is>
          <t>Wlasciciel / Fachowiec</t>
        </is>
      </c>
      <c r="M539" t="n">
        <v>38</v>
      </c>
      <c r="N539" t="n">
        <v>5</v>
      </c>
      <c r="O539" t="inlineStr">
        <is>
          <t>Google Maps</t>
        </is>
      </c>
      <c r="P539" t="inlineStr">
        <is>
          <t>Nowa</t>
        </is>
      </c>
      <c r="S539" t="inlineStr">
        <is>
          <t>[FACHOWIEC - nie klient] Bramy garazowe. Google Maps: 5 gw. z 38 opinii.</t>
        </is>
      </c>
    </row>
    <row r="540">
      <c r="B540" s="34" t="n">
        <v>46135</v>
      </c>
      <c r="C540" t="inlineStr">
        <is>
          <t>Stepapp - Sprzatanie mieszkan i biur</t>
        </is>
      </c>
      <c r="D540" t="inlineStr">
        <is>
          <t>Firmy budowlane</t>
        </is>
      </c>
      <c r="E540" t="inlineStr">
        <is>
          <t>TOP (zielony)</t>
        </is>
      </c>
      <c r="G540" t="inlineStr">
        <is>
          <t>+48 22 122 55 22</t>
        </is>
      </c>
      <c r="J540" t="inlineStr">
        <is>
          <t>Al. Prymasa Tysiaclecia 83A/lokal 103</t>
        </is>
      </c>
      <c r="L540" t="inlineStr">
        <is>
          <t>Wlasciciel / Fachowiec</t>
        </is>
      </c>
      <c r="M540" t="n">
        <v>434</v>
      </c>
      <c r="N540" t="n">
        <v>4.6</v>
      </c>
      <c r="O540" t="inlineStr">
        <is>
          <t>Google Maps</t>
        </is>
      </c>
      <c r="P540" t="inlineStr">
        <is>
          <t>Nowa</t>
        </is>
      </c>
      <c r="S540" t="inlineStr">
        <is>
          <t>[FACHOWIEC - nie klient] Sprzatanie biur. Google Maps: 4.6 gw. z 434 opinii.</t>
        </is>
      </c>
    </row>
    <row r="541">
      <c r="B541" s="34" t="n">
        <v>46135</v>
      </c>
      <c r="C541" t="inlineStr">
        <is>
          <t>SauberTech</t>
        </is>
      </c>
      <c r="D541" t="inlineStr">
        <is>
          <t>Firmy budowlane</t>
        </is>
      </c>
      <c r="E541" t="inlineStr">
        <is>
          <t>TOP (zielony)</t>
        </is>
      </c>
      <c r="G541" t="inlineStr">
        <is>
          <t>+48 698 077 735</t>
        </is>
      </c>
      <c r="J541" t="inlineStr">
        <is>
          <t>plac Bankowy 2</t>
        </is>
      </c>
      <c r="L541" t="inlineStr">
        <is>
          <t>Wlasciciel / Fachowiec</t>
        </is>
      </c>
      <c r="M541" t="n">
        <v>35</v>
      </c>
      <c r="N541" t="n">
        <v>5</v>
      </c>
      <c r="O541" t="inlineStr">
        <is>
          <t>Google Maps</t>
        </is>
      </c>
      <c r="P541" t="inlineStr">
        <is>
          <t>Nowa</t>
        </is>
      </c>
      <c r="S541" t="inlineStr">
        <is>
          <t>[FACHOWIEC - nie klient] Sprzatanie biur. Google Maps: 5 gw. z 35 opinii.</t>
        </is>
      </c>
    </row>
    <row r="542">
      <c r="B542" s="34" t="n">
        <v>46135</v>
      </c>
      <c r="C542" t="inlineStr">
        <is>
          <t>Sprzatanie Mieszkan Warszawa - firma sprzatajaca - sprzatanie apartamentow biur Warszawa - mycie okien</t>
        </is>
      </c>
      <c r="D542" t="inlineStr">
        <is>
          <t>Firmy budowlane</t>
        </is>
      </c>
      <c r="E542" t="inlineStr">
        <is>
          <t>TOP (zielony)</t>
        </is>
      </c>
      <c r="G542" t="inlineStr">
        <is>
          <t>+48 512 266 221</t>
        </is>
      </c>
      <c r="J542" t="inlineStr">
        <is>
          <t>Basniowa 3/lok 63</t>
        </is>
      </c>
      <c r="L542" t="inlineStr">
        <is>
          <t>Wlasciciel / Fachowiec</t>
        </is>
      </c>
      <c r="M542" t="n">
        <v>36</v>
      </c>
      <c r="N542" t="n">
        <v>4.9</v>
      </c>
      <c r="O542" t="inlineStr">
        <is>
          <t>Google Maps</t>
        </is>
      </c>
      <c r="P542" t="inlineStr">
        <is>
          <t>Nowa</t>
        </is>
      </c>
      <c r="S542" t="inlineStr">
        <is>
          <t>[FACHOWIEC - nie klient] Sprzatanie biur. Google Maps: 4.9 gw. z 36 opinii.</t>
        </is>
      </c>
    </row>
    <row r="543">
      <c r="B543" s="34" t="n">
        <v>46135</v>
      </c>
      <c r="C543" t="inlineStr">
        <is>
          <t>Pogotowie Sprzatajace Warszawa – Sprzatanie Domowe i Specjalistyczne • Po Zgonach • Ozonowanie</t>
        </is>
      </c>
      <c r="D543" t="inlineStr">
        <is>
          <t>Firmy budowlane</t>
        </is>
      </c>
      <c r="E543" t="inlineStr">
        <is>
          <t>TOP (zielony)</t>
        </is>
      </c>
      <c r="G543" t="inlineStr">
        <is>
          <t>+48 690 060 169</t>
        </is>
      </c>
      <c r="J543" t="inlineStr">
        <is>
          <t>Wolska 45</t>
        </is>
      </c>
      <c r="L543" t="inlineStr">
        <is>
          <t>Wlasciciel / Fachowiec</t>
        </is>
      </c>
      <c r="M543" t="n">
        <v>35</v>
      </c>
      <c r="N543" t="n">
        <v>5</v>
      </c>
      <c r="O543" t="inlineStr">
        <is>
          <t>Google Maps</t>
        </is>
      </c>
      <c r="P543" t="inlineStr">
        <is>
          <t>Nowa</t>
        </is>
      </c>
      <c r="S543" t="inlineStr">
        <is>
          <t>[FACHOWIEC - nie klient] Sprzatanie biur. Google Maps: 5 gw. z 35 opinii.</t>
        </is>
      </c>
    </row>
    <row r="544">
      <c r="B544" s="34" t="n">
        <v>46135</v>
      </c>
      <c r="C544" t="inlineStr">
        <is>
          <t>Hydraulik udraznianie rur zlewu kanalizacji</t>
        </is>
      </c>
      <c r="D544" t="inlineStr">
        <is>
          <t>Firmy budowlane</t>
        </is>
      </c>
      <c r="E544" t="inlineStr">
        <is>
          <t>TOP (zielony)</t>
        </is>
      </c>
      <c r="G544" t="inlineStr">
        <is>
          <t>+48 510 733 300</t>
        </is>
      </c>
      <c r="J544" t="inlineStr">
        <is>
          <t>Tetmajera 20a</t>
        </is>
      </c>
      <c r="L544" t="inlineStr">
        <is>
          <t>Wlasciciel / Fachowiec</t>
        </is>
      </c>
      <c r="M544" t="n">
        <v>453</v>
      </c>
      <c r="N544" t="n">
        <v>5</v>
      </c>
      <c r="O544" t="inlineStr">
        <is>
          <t>Google Maps</t>
        </is>
      </c>
      <c r="P544" t="inlineStr">
        <is>
          <t>Nowa</t>
        </is>
      </c>
      <c r="S544" t="inlineStr">
        <is>
          <t>[FACHOWIEC - nie klient] Czyszczenie kanalizacji. Google Maps: 5 gw. z 453 opinii.</t>
        </is>
      </c>
    </row>
    <row r="545">
      <c r="B545" s="34" t="n">
        <v>46135</v>
      </c>
      <c r="C545" t="inlineStr">
        <is>
          <t>Czysta rura| Wuko Warszawa udraznianie rur</t>
        </is>
      </c>
      <c r="D545" t="inlineStr">
        <is>
          <t>Firmy budowlane</t>
        </is>
      </c>
      <c r="E545" t="inlineStr">
        <is>
          <t>Sredni (zolty)</t>
        </is>
      </c>
      <c r="G545" t="inlineStr">
        <is>
          <t>+48 515 514 141</t>
        </is>
      </c>
      <c r="J545" t="inlineStr">
        <is>
          <t>08:00 · +48 515 514 141</t>
        </is>
      </c>
      <c r="L545" t="inlineStr">
        <is>
          <t>Wlasciciel / Fachowiec</t>
        </is>
      </c>
      <c r="M545" t="n">
        <v>11</v>
      </c>
      <c r="N545" t="n">
        <v>5</v>
      </c>
      <c r="O545" t="inlineStr">
        <is>
          <t>Google Maps</t>
        </is>
      </c>
      <c r="P545" t="inlineStr">
        <is>
          <t>Nowa</t>
        </is>
      </c>
      <c r="S545" t="inlineStr">
        <is>
          <t>[FACHOWIEC - nie klient] Czyszczenie kanalizacji. Google Maps: 5 gw. z 11 opinii.</t>
        </is>
      </c>
    </row>
    <row r="546">
      <c r="B546" s="34" t="n">
        <v>46135</v>
      </c>
      <c r="C546" t="inlineStr">
        <is>
          <t>Mi-Kan Pogotowie Kanalizacyjne - przepychanie, udraznianie rur Warszawa</t>
        </is>
      </c>
      <c r="D546" t="inlineStr">
        <is>
          <t>Firmy budowlane</t>
        </is>
      </c>
      <c r="E546" t="inlineStr">
        <is>
          <t>TOP (zielony)</t>
        </is>
      </c>
      <c r="G546" t="inlineStr">
        <is>
          <t>+48 511 603 602</t>
        </is>
      </c>
      <c r="L546" t="inlineStr">
        <is>
          <t>Wlasciciel / Fachowiec</t>
        </is>
      </c>
      <c r="M546" t="n">
        <v>65</v>
      </c>
      <c r="N546" t="n">
        <v>4.6</v>
      </c>
      <c r="O546" t="inlineStr">
        <is>
          <t>Google Maps</t>
        </is>
      </c>
      <c r="P546" t="inlineStr">
        <is>
          <t>Nowa</t>
        </is>
      </c>
      <c r="S546" t="inlineStr">
        <is>
          <t>[FACHOWIEC - nie klient] Czyszczenie kanalizacji. Google Maps: 4.6 gw. z 65 opinii.</t>
        </is>
      </c>
    </row>
    <row r="547">
      <c r="B547" s="34" t="n">
        <v>46135</v>
      </c>
      <c r="C547" t="inlineStr">
        <is>
          <t>Dual Vision - monitoring CCTV, alarm, wideodomofony | Profesjonalne systemy zabezpieczen | Warszawa i okolice</t>
        </is>
      </c>
      <c r="D547" t="inlineStr">
        <is>
          <t>Firmy budowlane</t>
        </is>
      </c>
      <c r="E547" t="inlineStr">
        <is>
          <t>TOP (zielony)</t>
        </is>
      </c>
      <c r="G547" t="inlineStr">
        <is>
          <t>+48 515 415 286</t>
        </is>
      </c>
      <c r="J547" t="inlineStr">
        <is>
          <t>Al. Jerozolimskie 85/21</t>
        </is>
      </c>
      <c r="L547" t="inlineStr">
        <is>
          <t>Wlasciciel / Fachowiec</t>
        </is>
      </c>
      <c r="M547" t="n">
        <v>53</v>
      </c>
      <c r="N547" t="n">
        <v>4.9</v>
      </c>
      <c r="O547" t="inlineStr">
        <is>
          <t>Google Maps</t>
        </is>
      </c>
      <c r="P547" t="inlineStr">
        <is>
          <t>Nowa</t>
        </is>
      </c>
      <c r="S547" t="inlineStr">
        <is>
          <t>[FACHOWIEC - nie klient] Monitoring CCTV. Google Maps: 4.9 gw. z 53 opinii.</t>
        </is>
      </c>
    </row>
    <row r="548">
      <c r="B548" s="34" t="n">
        <v>46135</v>
      </c>
      <c r="C548" t="inlineStr">
        <is>
          <t>Eltrox Warszawa - Monitoring Alarmy Wideodomofony Kamery</t>
        </is>
      </c>
      <c r="D548" t="inlineStr">
        <is>
          <t>Firmy budowlane</t>
        </is>
      </c>
      <c r="E548" t="inlineStr">
        <is>
          <t>TOP (zielony)</t>
        </is>
      </c>
      <c r="G548" t="inlineStr">
        <is>
          <t>+48 22 100 44 18</t>
        </is>
      </c>
      <c r="J548" t="inlineStr">
        <is>
          <t> · Radzyminska 308</t>
        </is>
      </c>
      <c r="L548" t="inlineStr">
        <is>
          <t>Wlasciciel / Fachowiec</t>
        </is>
      </c>
      <c r="M548" t="n">
        <v>349</v>
      </c>
      <c r="N548" t="n">
        <v>4.7</v>
      </c>
      <c r="O548" t="inlineStr">
        <is>
          <t>Google Maps</t>
        </is>
      </c>
      <c r="P548" t="inlineStr">
        <is>
          <t>Nowa</t>
        </is>
      </c>
      <c r="S548" t="inlineStr">
        <is>
          <t>[FACHOWIEC - nie klient] Monitoring CCTV. Google Maps: 4.7 gw. z 349 opinii.</t>
        </is>
      </c>
    </row>
    <row r="549">
      <c r="B549" s="34" t="n">
        <v>46135</v>
      </c>
      <c r="C549" t="inlineStr">
        <is>
          <t>ABC Zabezpieczen Warszawa - Zamek do drzwi wymiana i montaz, awaryjne otwieranie</t>
        </is>
      </c>
      <c r="D549" t="inlineStr">
        <is>
          <t>Firmy budowlane</t>
        </is>
      </c>
      <c r="E549" t="inlineStr">
        <is>
          <t>TOP (zielony)</t>
        </is>
      </c>
      <c r="G549" t="inlineStr">
        <is>
          <t>+48 22 290 21 12</t>
        </is>
      </c>
      <c r="J549" t="inlineStr">
        <is>
          <t>Al. Jerozolimskie 214</t>
        </is>
      </c>
      <c r="L549" t="inlineStr">
        <is>
          <t>Wlasciciel / Fachowiec</t>
        </is>
      </c>
      <c r="M549" t="n">
        <v>567</v>
      </c>
      <c r="N549" t="n">
        <v>4.9</v>
      </c>
      <c r="O549" t="inlineStr">
        <is>
          <t>Google Maps</t>
        </is>
      </c>
      <c r="P549" t="inlineStr">
        <is>
          <t>Nowa</t>
        </is>
      </c>
      <c r="S549" t="inlineStr">
        <is>
          <t>[FACHOWIEC - nie klient] Slusarz / awaryjne otwarcie. Google Maps: 4.9 gw. z 567 opinii.</t>
        </is>
      </c>
    </row>
    <row r="550">
      <c r="B550" s="34" t="n">
        <v>46135</v>
      </c>
      <c r="C550" t="inlineStr">
        <is>
          <t>Pogotowie Zamkowe 24h. Licencja policji. Awaryjne otwieranie zamkow, drzwi, samochodow.</t>
        </is>
      </c>
      <c r="D550" t="inlineStr">
        <is>
          <t>Firmy budowlane</t>
        </is>
      </c>
      <c r="E550" t="inlineStr">
        <is>
          <t>TOP (zielony)</t>
        </is>
      </c>
      <c r="G550" t="inlineStr">
        <is>
          <t>+48 501 121 212</t>
        </is>
      </c>
      <c r="J550" t="inlineStr">
        <is>
          <t>plac Konstytucji 2/29c</t>
        </is>
      </c>
      <c r="L550" t="inlineStr">
        <is>
          <t>Wlasciciel / Fachowiec</t>
        </is>
      </c>
      <c r="M550" t="n">
        <v>61</v>
      </c>
      <c r="N550" t="n">
        <v>4.1</v>
      </c>
      <c r="O550" t="inlineStr">
        <is>
          <t>Google Maps</t>
        </is>
      </c>
      <c r="P550" t="inlineStr">
        <is>
          <t>Nowa</t>
        </is>
      </c>
      <c r="S550" t="inlineStr">
        <is>
          <t>[FACHOWIEC - nie klient] Slusarz / awaryjne otwarcie. Google Maps: 4.1 gw. z 61 opinii.</t>
        </is>
      </c>
    </row>
    <row r="551">
      <c r="B551" s="34" t="n">
        <v>46135</v>
      </c>
      <c r="C551" t="inlineStr">
        <is>
          <t>ie24 – Pranie i Czyszczenie Wykładzin | Dywanow | Tapicerki | Mebli z Dojazdem | Profesjonalne Usługi Warszawa</t>
        </is>
      </c>
      <c r="D551" t="inlineStr">
        <is>
          <t>Firmy budowlane</t>
        </is>
      </c>
      <c r="E551" t="inlineStr">
        <is>
          <t>TOP (zielony)</t>
        </is>
      </c>
      <c r="G551" t="inlineStr">
        <is>
          <t>+48 788 788 103</t>
        </is>
      </c>
      <c r="J551" t="inlineStr">
        <is>
          <t>Wolska 50</t>
        </is>
      </c>
      <c r="L551" t="inlineStr">
        <is>
          <t>Wlasciciel / Fachowiec</t>
        </is>
      </c>
      <c r="M551" t="n">
        <v>487</v>
      </c>
      <c r="N551" t="n">
        <v>5</v>
      </c>
      <c r="O551" t="inlineStr">
        <is>
          <t>Google Maps</t>
        </is>
      </c>
      <c r="P551" t="inlineStr">
        <is>
          <t>Nowa</t>
        </is>
      </c>
      <c r="S551" t="inlineStr">
        <is>
          <t>[FACHOWIEC - nie klient] Czyszczenie dywanow. Google Maps: 5 gw. z 487 opinii.</t>
        </is>
      </c>
    </row>
    <row r="552">
      <c r="B552" s="34" t="n">
        <v>46135</v>
      </c>
      <c r="C552" t="inlineStr">
        <is>
          <t>Do Czysta</t>
        </is>
      </c>
      <c r="D552" t="inlineStr">
        <is>
          <t>Firmy budowlane</t>
        </is>
      </c>
      <c r="E552" t="inlineStr">
        <is>
          <t>TOP (zielony)</t>
        </is>
      </c>
      <c r="G552" t="inlineStr">
        <is>
          <t>+48 792 792 025</t>
        </is>
      </c>
      <c r="J552" t="inlineStr">
        <is>
          <t>Domaniewska 22A</t>
        </is>
      </c>
      <c r="L552" t="inlineStr">
        <is>
          <t>Wlasciciel / Fachowiec</t>
        </is>
      </c>
      <c r="M552" t="n">
        <v>73</v>
      </c>
      <c r="N552" t="n">
        <v>4.8</v>
      </c>
      <c r="O552" t="inlineStr">
        <is>
          <t>Google Maps</t>
        </is>
      </c>
      <c r="P552" t="inlineStr">
        <is>
          <t>Nowa</t>
        </is>
      </c>
      <c r="S552" t="inlineStr">
        <is>
          <t>[FACHOWIEC - nie klient] Czyszczenie dywanow. Google Maps: 4.8 gw. z 73 opinii.</t>
        </is>
      </c>
    </row>
    <row r="553">
      <c r="B553" s="34" t="n">
        <v>46135</v>
      </c>
      <c r="C553" t="inlineStr">
        <is>
          <t>Clinox Pranie Wykładzin Warszawa Pranie Tapicerki Kanapy Czyszczenie Dywanow Warszawa Tapicerka Kanap</t>
        </is>
      </c>
      <c r="D553" t="inlineStr">
        <is>
          <t>Firmy budowlane</t>
        </is>
      </c>
      <c r="E553" t="inlineStr">
        <is>
          <t>TOP (zielony)</t>
        </is>
      </c>
      <c r="G553" t="inlineStr">
        <is>
          <t>+48 884 626 613</t>
        </is>
      </c>
      <c r="J553" t="inlineStr">
        <is>
          <t>Tytusa Chałubinskiego 9</t>
        </is>
      </c>
      <c r="L553" t="inlineStr">
        <is>
          <t>Wlasciciel / Fachowiec</t>
        </is>
      </c>
      <c r="M553" t="n">
        <v>252</v>
      </c>
      <c r="N553" t="n">
        <v>5</v>
      </c>
      <c r="O553" t="inlineStr">
        <is>
          <t>Google Maps</t>
        </is>
      </c>
      <c r="P553" t="inlineStr">
        <is>
          <t>Nowa</t>
        </is>
      </c>
      <c r="S553" t="inlineStr">
        <is>
          <t>[FACHOWIEC - nie klient] Czyszczenie dywanow. Google Maps: 5 gw. z 252 opinii.</t>
        </is>
      </c>
    </row>
    <row r="554">
      <c r="B554" s="34" t="n">
        <v>46135</v>
      </c>
      <c r="C554" t="inlineStr">
        <is>
          <t>eMKa Dach</t>
        </is>
      </c>
      <c r="D554" t="inlineStr">
        <is>
          <t>Firmy budowlane</t>
        </is>
      </c>
      <c r="E554" t="inlineStr">
        <is>
          <t>Sredni (zolty)</t>
        </is>
      </c>
      <c r="F554" t="inlineStr">
        <is>
          <t>Mokotow</t>
        </is>
      </c>
      <c r="G554" t="inlineStr">
        <is>
          <t>+48 535 366 370</t>
        </is>
      </c>
      <c r="J554" t="inlineStr">
        <is>
          <t>Kazimierzowska 85</t>
        </is>
      </c>
      <c r="L554" t="inlineStr">
        <is>
          <t>Wlasciciel / Fachowiec</t>
        </is>
      </c>
      <c r="M554" t="n">
        <v>13</v>
      </c>
      <c r="N554" t="n">
        <v>4.7</v>
      </c>
      <c r="O554" t="inlineStr">
        <is>
          <t>Google Maps</t>
        </is>
      </c>
      <c r="P554" t="inlineStr">
        <is>
          <t>Nowa</t>
        </is>
      </c>
      <c r="S554" t="inlineStr">
        <is>
          <t>[FACHOWIEC - nie klient] Dekarz. Google Maps: 4.7 gw. z 13 opinii.</t>
        </is>
      </c>
    </row>
    <row r="555">
      <c r="B555" s="34" t="n">
        <v>46135</v>
      </c>
      <c r="C555" t="inlineStr">
        <is>
          <t>Profesjonalne Usługi Blacharsko-Budowlane Rafał Kotuniak</t>
        </is>
      </c>
      <c r="D555" t="inlineStr">
        <is>
          <t>Firmy budowlane</t>
        </is>
      </c>
      <c r="E555" t="inlineStr">
        <is>
          <t>Niski (czerwony)</t>
        </is>
      </c>
      <c r="F555" t="inlineStr">
        <is>
          <t>Mokotow</t>
        </is>
      </c>
      <c r="G555" t="inlineStr">
        <is>
          <t>+48 511 110 563</t>
        </is>
      </c>
      <c r="J555" t="inlineStr">
        <is>
          <t>Gotarda</t>
        </is>
      </c>
      <c r="L555" t="inlineStr">
        <is>
          <t>Wlasciciel / Fachowiec</t>
        </is>
      </c>
      <c r="M555" t="n">
        <v>1</v>
      </c>
      <c r="N555" t="n">
        <v>5</v>
      </c>
      <c r="O555" t="inlineStr">
        <is>
          <t>Google Maps</t>
        </is>
      </c>
      <c r="P555" t="inlineStr">
        <is>
          <t>Nowa</t>
        </is>
      </c>
      <c r="S555" t="inlineStr">
        <is>
          <t>[FACHOWIEC - nie klient] Dekarz. Google Maps: 5 gw. z 1 opinii.</t>
        </is>
      </c>
    </row>
    <row r="556">
      <c r="B556" s="34" t="n">
        <v>46135</v>
      </c>
      <c r="C556" t="inlineStr">
        <is>
          <t>Bilka Expert Dach</t>
        </is>
      </c>
      <c r="D556" t="inlineStr">
        <is>
          <t>Firmy budowlane</t>
        </is>
      </c>
      <c r="E556" t="inlineStr">
        <is>
          <t>Niski (czerwony)</t>
        </is>
      </c>
      <c r="F556" t="inlineStr">
        <is>
          <t>Mokotow</t>
        </is>
      </c>
      <c r="G556" t="inlineStr">
        <is>
          <t>+48 729 558 434</t>
        </is>
      </c>
      <c r="J556" t="inlineStr">
        <is>
          <t>Puławska 12/lok.3</t>
        </is>
      </c>
      <c r="L556" t="inlineStr">
        <is>
          <t>Wlasciciel / Fachowiec</t>
        </is>
      </c>
      <c r="M556" t="n">
        <v>4</v>
      </c>
      <c r="N556" t="n">
        <v>4</v>
      </c>
      <c r="O556" t="inlineStr">
        <is>
          <t>Google Maps</t>
        </is>
      </c>
      <c r="P556" t="inlineStr">
        <is>
          <t>Nowa</t>
        </is>
      </c>
      <c r="S556" t="inlineStr">
        <is>
          <t>[FACHOWIEC - nie klient] Dekarz. Google Maps: 4 gw. z 4 opinii.</t>
        </is>
      </c>
    </row>
    <row r="557">
      <c r="B557" s="34" t="n">
        <v>46135</v>
      </c>
      <c r="C557" t="inlineStr">
        <is>
          <t>HOLD BRUK - Układanie kostki brukowej - Budowa Drog</t>
        </is>
      </c>
      <c r="D557" t="inlineStr">
        <is>
          <t>Firmy budowlane</t>
        </is>
      </c>
      <c r="E557" t="inlineStr">
        <is>
          <t>Niski (czerwony)</t>
        </is>
      </c>
      <c r="G557" t="inlineStr">
        <is>
          <t>+48 504 419 013</t>
        </is>
      </c>
      <c r="J557" t="inlineStr">
        <is>
          <t>Tadeusza Rechniewskiego 13</t>
        </is>
      </c>
      <c r="L557" t="inlineStr">
        <is>
          <t>Wlasciciel / Fachowiec</t>
        </is>
      </c>
      <c r="M557" t="n">
        <v>10</v>
      </c>
      <c r="N557" t="n">
        <v>3.8</v>
      </c>
      <c r="O557" t="inlineStr">
        <is>
          <t>Google Maps</t>
        </is>
      </c>
      <c r="P557" t="inlineStr">
        <is>
          <t>Nowa</t>
        </is>
      </c>
      <c r="S557" t="inlineStr">
        <is>
          <t>[FACHOWIEC - nie klient] Kostka brukowa. Google Maps: 3.8 gw. z 10 opinii.</t>
        </is>
      </c>
    </row>
    <row r="558">
      <c r="B558" s="34" t="n">
        <v>46135</v>
      </c>
      <c r="C558" t="inlineStr">
        <is>
          <t>Sas Bud Company - Układanie kostki Brukowej i Granitowej</t>
        </is>
      </c>
      <c r="D558" t="inlineStr">
        <is>
          <t>Firmy budowlane</t>
        </is>
      </c>
      <c r="E558" t="inlineStr">
        <is>
          <t>Sredni (zolty)</t>
        </is>
      </c>
      <c r="G558" t="inlineStr">
        <is>
          <t>+48 509 528 134</t>
        </is>
      </c>
      <c r="J558" t="inlineStr">
        <is>
          <t>Obywatelska 1/9</t>
        </is>
      </c>
      <c r="L558" t="inlineStr">
        <is>
          <t>Wlasciciel / Fachowiec</t>
        </is>
      </c>
      <c r="M558" t="n">
        <v>13</v>
      </c>
      <c r="N558" t="n">
        <v>5</v>
      </c>
      <c r="O558" t="inlineStr">
        <is>
          <t>Google Maps</t>
        </is>
      </c>
      <c r="P558" t="inlineStr">
        <is>
          <t>Nowa</t>
        </is>
      </c>
      <c r="S558" t="inlineStr">
        <is>
          <t>[FACHOWIEC - nie klient] Kostka brukowa. Google Maps: 5 gw. z 13 opinii.</t>
        </is>
      </c>
    </row>
    <row r="559">
      <c r="B559" s="34" t="n">
        <v>46135</v>
      </c>
      <c r="C559" t="inlineStr">
        <is>
          <t>Akam-Bruk - kostka brukowa, betonowa i granitowa, kregi betonowe, kruszywa, transport HDS</t>
        </is>
      </c>
      <c r="D559" t="inlineStr">
        <is>
          <t>Firmy budowlane</t>
        </is>
      </c>
      <c r="E559" t="inlineStr">
        <is>
          <t>TOP (zielony)</t>
        </is>
      </c>
      <c r="G559" t="inlineStr">
        <is>
          <t>+48 506 821 841</t>
        </is>
      </c>
      <c r="J559" t="inlineStr">
        <is>
          <t>Dzwigowa 8</t>
        </is>
      </c>
      <c r="L559" t="inlineStr">
        <is>
          <t>Wlasciciel / Fachowiec</t>
        </is>
      </c>
      <c r="M559" t="n">
        <v>26</v>
      </c>
      <c r="N559" t="n">
        <v>5</v>
      </c>
      <c r="O559" t="inlineStr">
        <is>
          <t>Google Maps</t>
        </is>
      </c>
      <c r="P559" t="inlineStr">
        <is>
          <t>Nowa</t>
        </is>
      </c>
      <c r="S559" t="inlineStr">
        <is>
          <t>[FACHOWIEC - nie klient] Kostka brukowa. Google Maps: 5 gw. z 26 opinii.</t>
        </is>
      </c>
    </row>
    <row r="560">
      <c r="B560" s="34" t="n">
        <v>46135</v>
      </c>
      <c r="C560" t="inlineStr">
        <is>
          <t>MGS Polska - kostka brukowa, usługi brukarskie</t>
        </is>
      </c>
      <c r="D560" t="inlineStr">
        <is>
          <t>Firmy budowlane</t>
        </is>
      </c>
      <c r="E560" t="inlineStr">
        <is>
          <t>Niski (czerwony)</t>
        </is>
      </c>
      <c r="G560" t="inlineStr">
        <is>
          <t>+48 730 280 160</t>
        </is>
      </c>
      <c r="J560" t="inlineStr">
        <is>
          <t>Bronowska 36</t>
        </is>
      </c>
      <c r="L560" t="inlineStr">
        <is>
          <t>Wlasciciel / Fachowiec</t>
        </is>
      </c>
      <c r="M560" t="n">
        <v>2</v>
      </c>
      <c r="N560" t="n">
        <v>5</v>
      </c>
      <c r="O560" t="inlineStr">
        <is>
          <t>Google Maps</t>
        </is>
      </c>
      <c r="P560" t="inlineStr">
        <is>
          <t>Nowa</t>
        </is>
      </c>
      <c r="S560" t="inlineStr">
        <is>
          <t>[FACHOWIEC - nie klient] Kostka brukowa. Google Maps: 5 gw. z 2 opinii.</t>
        </is>
      </c>
    </row>
    <row r="561">
      <c r="B561" s="34" t="n">
        <v>46135</v>
      </c>
      <c r="C561" t="inlineStr">
        <is>
          <t>BRUK PROJEKT - Profesjonalne układanie kostki brukowej</t>
        </is>
      </c>
      <c r="D561" t="inlineStr">
        <is>
          <t>Firmy budowlane</t>
        </is>
      </c>
      <c r="E561" t="inlineStr">
        <is>
          <t>TOP (zielony)</t>
        </is>
      </c>
      <c r="G561" t="inlineStr">
        <is>
          <t>+48 601 332 784</t>
        </is>
      </c>
      <c r="J561" t="inlineStr">
        <is>
          <t>al. Marszałka Jozefa Piłsudskiego 150</t>
        </is>
      </c>
      <c r="L561" t="inlineStr">
        <is>
          <t>Wlasciciel / Fachowiec</t>
        </is>
      </c>
      <c r="M561" t="n">
        <v>188</v>
      </c>
      <c r="N561" t="n">
        <v>4.2</v>
      </c>
      <c r="O561" t="inlineStr">
        <is>
          <t>Google Maps</t>
        </is>
      </c>
      <c r="P561" t="inlineStr">
        <is>
          <t>Nowa</t>
        </is>
      </c>
      <c r="S561" t="inlineStr">
        <is>
          <t>[FACHOWIEC - nie klient] Kostka brukowa. Google Maps: 4.2 gw. z 188 opinii.</t>
        </is>
      </c>
    </row>
    <row r="562">
      <c r="B562" s="34" t="n">
        <v>46135</v>
      </c>
      <c r="C562" t="inlineStr">
        <is>
          <t>Naprawokna.pl - naprawa okien, serwis okien, regulacja okien, wymiana uszczelek w oknie</t>
        </is>
      </c>
      <c r="D562" t="inlineStr">
        <is>
          <t>Firmy budowlane</t>
        </is>
      </c>
      <c r="E562" t="inlineStr">
        <is>
          <t>TOP (zielony)</t>
        </is>
      </c>
      <c r="G562" t="inlineStr">
        <is>
          <t>+48 730 392 287</t>
        </is>
      </c>
      <c r="J562" t="inlineStr">
        <is>
          <t>Władysława Syrokomli 7/13</t>
        </is>
      </c>
      <c r="L562" t="inlineStr">
        <is>
          <t>Wlasciciel / Fachowiec</t>
        </is>
      </c>
      <c r="M562" t="n">
        <v>154</v>
      </c>
      <c r="N562" t="n">
        <v>4.9</v>
      </c>
      <c r="O562" t="inlineStr">
        <is>
          <t>Google Maps</t>
        </is>
      </c>
      <c r="P562" t="inlineStr">
        <is>
          <t>Nowa</t>
        </is>
      </c>
      <c r="S562" t="inlineStr">
        <is>
          <t>[FACHOWIEC - nie klient] Okna PCV. Google Maps: 4.9 gw. z 154 opinii.</t>
        </is>
      </c>
    </row>
    <row r="563">
      <c r="B563" s="34" t="n">
        <v>46135</v>
      </c>
      <c r="C563" t="inlineStr">
        <is>
          <t>Pro Okna - Montaz Okien Serwis Warszawa</t>
        </is>
      </c>
      <c r="D563" t="inlineStr">
        <is>
          <t>Firmy budowlane</t>
        </is>
      </c>
      <c r="E563" t="inlineStr">
        <is>
          <t>TOP (zielony)</t>
        </is>
      </c>
      <c r="G563" t="inlineStr">
        <is>
          <t>+48 534 344 601</t>
        </is>
      </c>
      <c r="J563" t="inlineStr">
        <is>
          <t>Jana Pawła Woronicza 33c</t>
        </is>
      </c>
      <c r="L563" t="inlineStr">
        <is>
          <t>Wlasciciel / Fachowiec</t>
        </is>
      </c>
      <c r="M563" t="n">
        <v>43</v>
      </c>
      <c r="N563" t="n">
        <v>4.9</v>
      </c>
      <c r="O563" t="inlineStr">
        <is>
          <t>Google Maps</t>
        </is>
      </c>
      <c r="P563" t="inlineStr">
        <is>
          <t>Nowa</t>
        </is>
      </c>
      <c r="S563" t="inlineStr">
        <is>
          <t>[FACHOWIEC - nie klient] Okna PCV. Google Maps: 4.9 gw. z 43 opinii.</t>
        </is>
      </c>
    </row>
    <row r="564">
      <c r="B564" s="34" t="n">
        <v>46135</v>
      </c>
      <c r="C564" t="inlineStr">
        <is>
          <t>Oknolek Serwis Okien i Drzwi</t>
        </is>
      </c>
      <c r="D564" t="inlineStr">
        <is>
          <t>Firmy budowlane</t>
        </is>
      </c>
      <c r="E564" t="inlineStr">
        <is>
          <t>TOP (zielony)</t>
        </is>
      </c>
      <c r="G564" t="inlineStr">
        <is>
          <t>+48 729 308 433</t>
        </is>
      </c>
      <c r="J564" t="inlineStr">
        <is>
          <t>Białobrzeska 28/23</t>
        </is>
      </c>
      <c r="L564" t="inlineStr">
        <is>
          <t>Wlasciciel / Fachowiec</t>
        </is>
      </c>
      <c r="M564" t="n">
        <v>156</v>
      </c>
      <c r="N564" t="n">
        <v>5</v>
      </c>
      <c r="O564" t="inlineStr">
        <is>
          <t>Google Maps</t>
        </is>
      </c>
      <c r="P564" t="inlineStr">
        <is>
          <t>Nowa</t>
        </is>
      </c>
      <c r="S564" t="inlineStr">
        <is>
          <t>[FACHOWIEC - nie klient] Okna PCV. Google Maps: 5 gw. z 156 opinii.</t>
        </is>
      </c>
    </row>
    <row r="565">
      <c r="B565" s="34" t="n">
        <v>46135</v>
      </c>
      <c r="C565" t="inlineStr">
        <is>
          <t>Serwis - naprawa - regulacja Okien</t>
        </is>
      </c>
      <c r="D565" t="inlineStr">
        <is>
          <t>Firmy budowlane</t>
        </is>
      </c>
      <c r="E565" t="inlineStr">
        <is>
          <t>TOP (zielony)</t>
        </is>
      </c>
      <c r="G565" t="inlineStr">
        <is>
          <t>+48 512 627 219</t>
        </is>
      </c>
      <c r="J565" t="inlineStr">
        <is>
          <t>Uniejowska 6</t>
        </is>
      </c>
      <c r="L565" t="inlineStr">
        <is>
          <t>Wlasciciel / Fachowiec</t>
        </is>
      </c>
      <c r="M565" t="n">
        <v>116</v>
      </c>
      <c r="N565" t="n">
        <v>5</v>
      </c>
      <c r="O565" t="inlineStr">
        <is>
          <t>Google Maps</t>
        </is>
      </c>
      <c r="P565" t="inlineStr">
        <is>
          <t>Nowa</t>
        </is>
      </c>
      <c r="S565" t="inlineStr">
        <is>
          <t>[FACHOWIEC - nie klient] Okna PCV. Google Maps: 5 gw. z 116 opinii.</t>
        </is>
      </c>
    </row>
    <row r="566">
      <c r="B566" s="34" t="n">
        <v>46135</v>
      </c>
      <c r="C566" t="inlineStr">
        <is>
          <t>Naprawa Okien Warszawa, Serwis Okien, Regulacja, Wymiana szyb, Wymiana uszczelek</t>
        </is>
      </c>
      <c r="D566" t="inlineStr">
        <is>
          <t>Firmy budowlane</t>
        </is>
      </c>
      <c r="E566" t="inlineStr">
        <is>
          <t>TOP (zielony)</t>
        </is>
      </c>
      <c r="G566" t="inlineStr">
        <is>
          <t>+48 504 589 653</t>
        </is>
      </c>
      <c r="J566" t="inlineStr">
        <is>
          <t>Zamkniecie: 21:00 · +48 504 589 653</t>
        </is>
      </c>
      <c r="L566" t="inlineStr">
        <is>
          <t>Wlasciciel / Fachowiec</t>
        </is>
      </c>
      <c r="M566" t="n">
        <v>164</v>
      </c>
      <c r="N566" t="n">
        <v>4.9</v>
      </c>
      <c r="O566" t="inlineStr">
        <is>
          <t>Google Maps</t>
        </is>
      </c>
      <c r="P566" t="inlineStr">
        <is>
          <t>Nowa</t>
        </is>
      </c>
      <c r="S566" t="inlineStr">
        <is>
          <t>[FACHOWIEC - nie klient] Okna PCV. Google Maps: 4.9 gw. z 164 opinii.</t>
        </is>
      </c>
    </row>
    <row r="567">
      <c r="B567" s="34" t="n">
        <v>46135</v>
      </c>
      <c r="C567" t="inlineStr">
        <is>
          <t>OknaBatex.PL Okna | Drzwi | Rolety | PCV DREWNO ALU | Montaz - Wymiana | Warszawa</t>
        </is>
      </c>
      <c r="D567" t="inlineStr">
        <is>
          <t>Firmy budowlane</t>
        </is>
      </c>
      <c r="E567" t="inlineStr">
        <is>
          <t>TOP (zielony)</t>
        </is>
      </c>
      <c r="G567" t="inlineStr">
        <is>
          <t>+48 22 396 63 38</t>
        </is>
      </c>
      <c r="J567" t="inlineStr">
        <is>
          <t> · Bartycka 26/pawilon 30A</t>
        </is>
      </c>
      <c r="L567" t="inlineStr">
        <is>
          <t>Wlasciciel / Fachowiec</t>
        </is>
      </c>
      <c r="M567" t="n">
        <v>78</v>
      </c>
      <c r="N567" t="n">
        <v>4.9</v>
      </c>
      <c r="O567" t="inlineStr">
        <is>
          <t>Google Maps</t>
        </is>
      </c>
      <c r="P567" t="inlineStr">
        <is>
          <t>Nowa</t>
        </is>
      </c>
      <c r="S567" t="inlineStr">
        <is>
          <t>[FACHOWIEC - nie klient] Okna PCV. Google Maps: 4.9 gw. z 78 opinii.</t>
        </is>
      </c>
    </row>
    <row r="568">
      <c r="B568" s="34" t="n">
        <v>46135</v>
      </c>
      <c r="C568" t="inlineStr">
        <is>
          <t>Projektowanie ogrodow "Garden and Pleasure" - OGRODY WARSZAWA</t>
        </is>
      </c>
      <c r="D568" t="inlineStr">
        <is>
          <t>Firmy budowlane</t>
        </is>
      </c>
      <c r="E568" t="inlineStr">
        <is>
          <t>TOP (zielony)</t>
        </is>
      </c>
      <c r="G568" t="inlineStr">
        <is>
          <t>+48 692 081 969</t>
        </is>
      </c>
      <c r="J568" t="inlineStr">
        <is>
          <t> · Topolowa 2</t>
        </is>
      </c>
      <c r="L568" t="inlineStr">
        <is>
          <t>Wlasciciel / Fachowiec</t>
        </is>
      </c>
      <c r="M568" t="n">
        <v>36</v>
      </c>
      <c r="N568" t="n">
        <v>4.9</v>
      </c>
      <c r="O568" t="inlineStr">
        <is>
          <t>Google Maps</t>
        </is>
      </c>
      <c r="P568" t="inlineStr">
        <is>
          <t>Nowa</t>
        </is>
      </c>
      <c r="S568" t="inlineStr">
        <is>
          <t>[FACHOWIEC - nie klient] Ogrodnictwo / zakladanie. Google Maps: 4.9 gw. z 36 opinii.</t>
        </is>
      </c>
    </row>
    <row r="569">
      <c r="B569" s="34" t="n">
        <v>46135</v>
      </c>
      <c r="C569" t="inlineStr">
        <is>
          <t>🌳 Smart Garden</t>
        </is>
      </c>
      <c r="D569" t="inlineStr">
        <is>
          <t>Firmy budowlane</t>
        </is>
      </c>
      <c r="E569" t="inlineStr">
        <is>
          <t>TOP (zielony)</t>
        </is>
      </c>
      <c r="G569" t="inlineStr">
        <is>
          <t>+48 576 985 015</t>
        </is>
      </c>
      <c r="J569" t="inlineStr">
        <is>
          <t> · Aleja Krakowska 285</t>
        </is>
      </c>
      <c r="L569" t="inlineStr">
        <is>
          <t>Wlasciciel / Fachowiec</t>
        </is>
      </c>
      <c r="M569" t="n">
        <v>124</v>
      </c>
      <c r="N569" t="n">
        <v>4.9</v>
      </c>
      <c r="O569" t="inlineStr">
        <is>
          <t>Google Maps</t>
        </is>
      </c>
      <c r="P569" t="inlineStr">
        <is>
          <t>Nowa</t>
        </is>
      </c>
      <c r="S569" t="inlineStr">
        <is>
          <t>[FACHOWIEC - nie klient] Ogrodnictwo / zakladanie. Google Maps: 4.9 gw. z 124 opinii.</t>
        </is>
      </c>
    </row>
    <row r="570">
      <c r="B570" s="34" t="n">
        <v>46135</v>
      </c>
      <c r="C570" t="inlineStr">
        <is>
          <t>Grande Gardini Usługi Ogrodnicze Brukarstwo Nawodnianie Ogrody Warszawa Mazowieckie</t>
        </is>
      </c>
      <c r="D570" t="inlineStr">
        <is>
          <t>Firmy budowlane</t>
        </is>
      </c>
      <c r="E570" t="inlineStr">
        <is>
          <t>TOP (zielony)</t>
        </is>
      </c>
      <c r="G570" t="inlineStr">
        <is>
          <t>+48 532 517 194</t>
        </is>
      </c>
      <c r="J570" t="inlineStr">
        <is>
          <t> · Jozefa Chełmonskiego 10</t>
        </is>
      </c>
      <c r="L570" t="inlineStr">
        <is>
          <t>Wlasciciel / Fachowiec</t>
        </is>
      </c>
      <c r="M570" t="n">
        <v>85</v>
      </c>
      <c r="N570" t="n">
        <v>4.8</v>
      </c>
      <c r="O570" t="inlineStr">
        <is>
          <t>Google Maps</t>
        </is>
      </c>
      <c r="P570" t="inlineStr">
        <is>
          <t>Nowa</t>
        </is>
      </c>
      <c r="S570" t="inlineStr">
        <is>
          <t>[FACHOWIEC - nie klient] Ogrodnictwo / zakladanie. Google Maps: 4.8 gw. z 85 opinii.</t>
        </is>
      </c>
    </row>
    <row r="571">
      <c r="B571" s="34" t="n">
        <v>46135</v>
      </c>
      <c r="C571" t="inlineStr">
        <is>
          <t>ERGARDEN</t>
        </is>
      </c>
      <c r="D571" t="inlineStr">
        <is>
          <t>Firmy budowlane</t>
        </is>
      </c>
      <c r="E571" t="inlineStr">
        <is>
          <t>Sredni (zolty)</t>
        </is>
      </c>
      <c r="G571" t="inlineStr">
        <is>
          <t>+48 796 532 948</t>
        </is>
      </c>
      <c r="J571" t="inlineStr">
        <is>
          <t> · Atenska 6/50</t>
        </is>
      </c>
      <c r="L571" t="inlineStr">
        <is>
          <t>Wlasciciel / Fachowiec</t>
        </is>
      </c>
      <c r="M571" t="n">
        <v>15</v>
      </c>
      <c r="N571" t="n">
        <v>5</v>
      </c>
      <c r="O571" t="inlineStr">
        <is>
          <t>Google Maps</t>
        </is>
      </c>
      <c r="P571" t="inlineStr">
        <is>
          <t>Nowa</t>
        </is>
      </c>
      <c r="S571" t="inlineStr">
        <is>
          <t>[FACHOWIEC - nie klient] Ogrodnictwo / zakladanie. Google Maps: 5 gw. z 15 opinii.</t>
        </is>
      </c>
    </row>
    <row r="572">
      <c r="B572" s="34" t="n">
        <v>46135</v>
      </c>
      <c r="C572" t="inlineStr">
        <is>
          <t>WOOW Painting Expert | Malowanie Warszawa</t>
        </is>
      </c>
      <c r="D572" t="inlineStr">
        <is>
          <t>Firmy budowlane</t>
        </is>
      </c>
      <c r="E572" t="inlineStr">
        <is>
          <t>TOP (zielony)</t>
        </is>
      </c>
      <c r="G572" t="inlineStr">
        <is>
          <t>+48 733 898 887</t>
        </is>
      </c>
      <c r="J572" t="inlineStr">
        <is>
          <t>Aleja Krakowska 291</t>
        </is>
      </c>
      <c r="L572" t="inlineStr">
        <is>
          <t>Wlasciciel / Fachowiec</t>
        </is>
      </c>
      <c r="M572" t="n">
        <v>39</v>
      </c>
      <c r="N572" t="n">
        <v>4.8</v>
      </c>
      <c r="O572" t="inlineStr">
        <is>
          <t>Google Maps</t>
        </is>
      </c>
      <c r="P572" t="inlineStr">
        <is>
          <t>Nowa</t>
        </is>
      </c>
      <c r="S572" t="inlineStr">
        <is>
          <t>[FACHOWIEC - nie klient] Malowanie natryskowe. Google Maps: 4.8 gw. z 39 opinii.</t>
        </is>
      </c>
    </row>
    <row r="573">
      <c r="B573" s="34" t="n">
        <v>46135</v>
      </c>
      <c r="C573" t="inlineStr">
        <is>
          <t>Naprawa Piecykow, Kotłow I Piecy Gazowych. Montaz Konserwacja Serwis</t>
        </is>
      </c>
      <c r="D573" t="inlineStr">
        <is>
          <t>Firmy budowlane</t>
        </is>
      </c>
      <c r="E573" t="inlineStr">
        <is>
          <t>Sredni (zolty)</t>
        </is>
      </c>
      <c r="G573" t="inlineStr">
        <is>
          <t>+48 503 571 721</t>
        </is>
      </c>
      <c r="J573" t="inlineStr">
        <is>
          <t>Staszica 7/Lokal U7</t>
        </is>
      </c>
      <c r="L573" t="inlineStr">
        <is>
          <t>Wlasciciel / Fachowiec</t>
        </is>
      </c>
      <c r="M573" t="n">
        <v>17</v>
      </c>
      <c r="N573" t="n">
        <v>4.6</v>
      </c>
      <c r="O573" t="inlineStr">
        <is>
          <t>Google Maps</t>
        </is>
      </c>
      <c r="P573" t="inlineStr">
        <is>
          <t>Nowa</t>
        </is>
      </c>
      <c r="S573" t="inlineStr">
        <is>
          <t>[FACHOWIEC - nie klient] Serwis kotlow. Google Maps: 4.6 gw. z 17 opinii.</t>
        </is>
      </c>
    </row>
    <row r="574">
      <c r="B574" s="34" t="n">
        <v>46135</v>
      </c>
      <c r="C574" t="inlineStr">
        <is>
          <t>MS-Serwis Mariusz Sibilski, Naprawa i Serwis piecow / kotłow gazowych De Dietrich</t>
        </is>
      </c>
      <c r="D574" t="inlineStr">
        <is>
          <t>Firmy budowlane</t>
        </is>
      </c>
      <c r="E574" t="inlineStr">
        <is>
          <t>TOP (zielony)</t>
        </is>
      </c>
      <c r="G574" t="inlineStr">
        <is>
          <t>+48 694 074 604</t>
        </is>
      </c>
      <c r="J574" t="inlineStr">
        <is>
          <t>Dzieci Warszawy 40c/57</t>
        </is>
      </c>
      <c r="L574" t="inlineStr">
        <is>
          <t>Wlasciciel / Fachowiec</t>
        </is>
      </c>
      <c r="M574" t="n">
        <v>62</v>
      </c>
      <c r="N574" t="n">
        <v>5</v>
      </c>
      <c r="O574" t="inlineStr">
        <is>
          <t>Google Maps</t>
        </is>
      </c>
      <c r="P574" t="inlineStr">
        <is>
          <t>Nowa</t>
        </is>
      </c>
      <c r="S574" t="inlineStr">
        <is>
          <t>[FACHOWIEC - nie klient] Serwis kotlow. Google Maps: 5 gw. z 62 opinii.</t>
        </is>
      </c>
    </row>
    <row r="575">
      <c r="B575" s="34" t="n">
        <v>46135</v>
      </c>
      <c r="C575" t="inlineStr">
        <is>
          <t>Proserwis - montaz i serwis kotłow gazowych</t>
        </is>
      </c>
      <c r="D575" t="inlineStr">
        <is>
          <t>Firmy budowlane</t>
        </is>
      </c>
      <c r="E575" t="inlineStr">
        <is>
          <t>TOP (zielony)</t>
        </is>
      </c>
      <c r="G575" t="inlineStr">
        <is>
          <t>+48 720 504 504</t>
        </is>
      </c>
      <c r="J575" t="inlineStr">
        <is>
          <t>Aleja Krakowska 89</t>
        </is>
      </c>
      <c r="L575" t="inlineStr">
        <is>
          <t>Wlasciciel / Fachowiec</t>
        </is>
      </c>
      <c r="M575" t="n">
        <v>254</v>
      </c>
      <c r="N575" t="n">
        <v>4.7</v>
      </c>
      <c r="O575" t="inlineStr">
        <is>
          <t>Google Maps</t>
        </is>
      </c>
      <c r="P575" t="inlineStr">
        <is>
          <t>Nowa</t>
        </is>
      </c>
      <c r="S575" t="inlineStr">
        <is>
          <t>[FACHOWIEC - nie klient] Serwis kotlow. Google Maps: 4.7 gw. z 254 opinii.</t>
        </is>
      </c>
    </row>
    <row r="576">
      <c r="B576" s="34" t="n">
        <v>46135</v>
      </c>
      <c r="C576" t="inlineStr">
        <is>
          <t>Serwis Kotłow i Term Gazowych GROMGAZ - oddział Warszawa</t>
        </is>
      </c>
      <c r="D576" t="inlineStr">
        <is>
          <t>Firmy budowlane</t>
        </is>
      </c>
      <c r="E576" t="inlineStr">
        <is>
          <t>TOP (zielony)</t>
        </is>
      </c>
      <c r="G576" t="inlineStr">
        <is>
          <t>+48 22 891 13 00</t>
        </is>
      </c>
      <c r="J576" t="inlineStr">
        <is>
          <t>Bartycka 26</t>
        </is>
      </c>
      <c r="L576" t="inlineStr">
        <is>
          <t>Wlasciciel / Fachowiec</t>
        </is>
      </c>
      <c r="M576" t="n">
        <v>74</v>
      </c>
      <c r="N576" t="n">
        <v>4.3</v>
      </c>
      <c r="O576" t="inlineStr">
        <is>
          <t>Google Maps</t>
        </is>
      </c>
      <c r="P576" t="inlineStr">
        <is>
          <t>Nowa</t>
        </is>
      </c>
      <c r="S576" t="inlineStr">
        <is>
          <t>[FACHOWIEC - nie klient] Serwis kotlow. Google Maps: 4.3 gw. z 74 opinii.</t>
        </is>
      </c>
    </row>
    <row r="577">
      <c r="B577" s="34" t="n">
        <v>46135</v>
      </c>
      <c r="C577" t="inlineStr">
        <is>
          <t>Serwis kotłow gazowych - Urmet Wiesław Urbanek</t>
        </is>
      </c>
      <c r="D577" t="inlineStr">
        <is>
          <t>Firmy budowlane</t>
        </is>
      </c>
      <c r="E577" t="inlineStr">
        <is>
          <t>Niski (czerwony)</t>
        </is>
      </c>
      <c r="G577" t="inlineStr">
        <is>
          <t>+48 604 913 138</t>
        </is>
      </c>
      <c r="J577" t="inlineStr">
        <is>
          <t>Czarnomorska 17/78</t>
        </is>
      </c>
      <c r="L577" t="inlineStr">
        <is>
          <t>Wlasciciel / Fachowiec</t>
        </is>
      </c>
      <c r="M577" t="n">
        <v>1</v>
      </c>
      <c r="N577" t="n">
        <v>1</v>
      </c>
      <c r="O577" t="inlineStr">
        <is>
          <t>Google Maps</t>
        </is>
      </c>
      <c r="P577" t="inlineStr">
        <is>
          <t>Nowa</t>
        </is>
      </c>
      <c r="S577" t="inlineStr">
        <is>
          <t>[FACHOWIEC - nie klient] Serwis kotlow. Google Maps: 1 gw. z 1 opinii.</t>
        </is>
      </c>
    </row>
    <row r="578">
      <c r="B578" s="34" t="n">
        <v>46135</v>
      </c>
      <c r="C578" t="inlineStr">
        <is>
          <t>MULTISERVICE GAZ - Naprawa , Montaz Kotłow Gazowych. Pogotowie Gazowe.</t>
        </is>
      </c>
      <c r="D578" t="inlineStr">
        <is>
          <t>Firmy budowlane</t>
        </is>
      </c>
      <c r="E578" t="inlineStr">
        <is>
          <t>Niski (czerwony)</t>
        </is>
      </c>
      <c r="G578" t="inlineStr">
        <is>
          <t>+48 501 172 393</t>
        </is>
      </c>
      <c r="J578" t="inlineStr">
        <is>
          <t>ul, Waligory 3A</t>
        </is>
      </c>
      <c r="L578" t="inlineStr">
        <is>
          <t>Wlasciciel / Fachowiec</t>
        </is>
      </c>
      <c r="M578" t="n">
        <v>56</v>
      </c>
      <c r="N578" t="n">
        <v>3.2</v>
      </c>
      <c r="O578" t="inlineStr">
        <is>
          <t>Google Maps</t>
        </is>
      </c>
      <c r="P578" t="inlineStr">
        <is>
          <t>Nowa</t>
        </is>
      </c>
      <c r="S578" t="inlineStr">
        <is>
          <t>[FACHOWIEC - nie klient] Serwis kotlow. Google Maps: 3.2 gw. z 56 opinii.</t>
        </is>
      </c>
    </row>
    <row r="579">
      <c r="B579" s="34" t="n">
        <v>46135</v>
      </c>
      <c r="C579" t="inlineStr">
        <is>
          <t>Serwis Kotłow I Piecykow Gazowych Montaz Naprawa Konserwacja Gaz-Serwis</t>
        </is>
      </c>
      <c r="D579" t="inlineStr">
        <is>
          <t>Firmy budowlane</t>
        </is>
      </c>
      <c r="E579" t="inlineStr">
        <is>
          <t>Sredni (zolty)</t>
        </is>
      </c>
      <c r="G579" t="inlineStr">
        <is>
          <t>+48 513 073 144</t>
        </is>
      </c>
      <c r="J579" t="inlineStr">
        <is>
          <t>Puszczy Solskiej 5</t>
        </is>
      </c>
      <c r="L579" t="inlineStr">
        <is>
          <t>Wlasciciel / Fachowiec</t>
        </is>
      </c>
      <c r="M579" t="n">
        <v>10</v>
      </c>
      <c r="N579" t="n">
        <v>5</v>
      </c>
      <c r="O579" t="inlineStr">
        <is>
          <t>Google Maps</t>
        </is>
      </c>
      <c r="P579" t="inlineStr">
        <is>
          <t>Nowa</t>
        </is>
      </c>
      <c r="S579" t="inlineStr">
        <is>
          <t>[FACHOWIEC - nie klient] Serwis kotlow. Google Maps: 5 gw. z 10 opinii.</t>
        </is>
      </c>
    </row>
    <row r="580">
      <c r="B580" s="34" t="n">
        <v>46135</v>
      </c>
      <c r="C580" t="inlineStr">
        <is>
          <t>Drew-Max Grzegorz Keska</t>
        </is>
      </c>
      <c r="D580" t="inlineStr">
        <is>
          <t>Firmy budowlane</t>
        </is>
      </c>
      <c r="E580" t="inlineStr">
        <is>
          <t>TOP (zielony)</t>
        </is>
      </c>
      <c r="G580" t="inlineStr">
        <is>
          <t>+48 501 047 928</t>
        </is>
      </c>
      <c r="J580" t="inlineStr">
        <is>
          <t>Jozefa Siemienskiego 19</t>
        </is>
      </c>
      <c r="L580" t="inlineStr">
        <is>
          <t>Wlasciciel / Fachowiec</t>
        </is>
      </c>
      <c r="M580" t="n">
        <v>25</v>
      </c>
      <c r="N580" t="n">
        <v>5</v>
      </c>
      <c r="O580" t="inlineStr">
        <is>
          <t>Google Maps</t>
        </is>
      </c>
      <c r="P580" t="inlineStr">
        <is>
          <t>Nowa</t>
        </is>
      </c>
      <c r="S580" t="inlineStr">
        <is>
          <t>[FACHOWIEC - nie klient] Zabudowa meblowa. Google Maps: 5 gw. z 25 opinii.</t>
        </is>
      </c>
    </row>
    <row r="581">
      <c r="B581" s="34" t="n">
        <v>46135</v>
      </c>
      <c r="C581" t="inlineStr">
        <is>
          <t>Creator Meble</t>
        </is>
      </c>
      <c r="D581" t="inlineStr">
        <is>
          <t>Firmy budowlane</t>
        </is>
      </c>
      <c r="E581" t="inlineStr">
        <is>
          <t>TOP (zielony)</t>
        </is>
      </c>
      <c r="G581" t="inlineStr">
        <is>
          <t>+48 602 153 997</t>
        </is>
      </c>
      <c r="J581" t="inlineStr">
        <is>
          <t>Łamana 7</t>
        </is>
      </c>
      <c r="L581" t="inlineStr">
        <is>
          <t>Wlasciciel / Fachowiec</t>
        </is>
      </c>
      <c r="M581" t="n">
        <v>27</v>
      </c>
      <c r="N581" t="n">
        <v>4.9</v>
      </c>
      <c r="O581" t="inlineStr">
        <is>
          <t>Google Maps</t>
        </is>
      </c>
      <c r="P581" t="inlineStr">
        <is>
          <t>Nowa</t>
        </is>
      </c>
      <c r="S581" t="inlineStr">
        <is>
          <t>[FACHOWIEC - nie klient] Zabudowa meblowa. Google Maps: 4.9 gw. z 27 opinii.</t>
        </is>
      </c>
    </row>
    <row r="582">
      <c r="B582" s="34" t="n">
        <v>46135</v>
      </c>
      <c r="C582" t="inlineStr">
        <is>
          <t>Ratujlaptopa.pl - Serwis i Naprawa Laptopow Warszawa | Serwis komputerowy</t>
        </is>
      </c>
      <c r="D582" t="inlineStr">
        <is>
          <t>Firmy budowlane</t>
        </is>
      </c>
      <c r="E582" t="inlineStr">
        <is>
          <t>TOP (zielony)</t>
        </is>
      </c>
      <c r="G582" t="inlineStr">
        <is>
          <t>+48 22 666 61 60</t>
        </is>
      </c>
      <c r="J582" t="inlineStr">
        <is>
          <t> · Gorczewska 62/64</t>
        </is>
      </c>
      <c r="L582" t="inlineStr">
        <is>
          <t>Wlasciciel / Fachowiec</t>
        </is>
      </c>
      <c r="M582" t="n">
        <v>2306</v>
      </c>
      <c r="N582" t="n">
        <v>4.7</v>
      </c>
      <c r="O582" t="inlineStr">
        <is>
          <t>Google Maps</t>
        </is>
      </c>
      <c r="P582" t="inlineStr">
        <is>
          <t>Nowa</t>
        </is>
      </c>
      <c r="S582" t="inlineStr">
        <is>
          <t>[FACHOWIEC - nie klient] Naprawa komputerow. Google Maps: 4.7 gw. z 2306 opinii.</t>
        </is>
      </c>
    </row>
    <row r="583">
      <c r="B583" s="34" t="n">
        <v>46135</v>
      </c>
      <c r="C583" t="inlineStr">
        <is>
          <t>PCExpres</t>
        </is>
      </c>
      <c r="D583" t="inlineStr">
        <is>
          <t>Firmy budowlane</t>
        </is>
      </c>
      <c r="E583" t="inlineStr">
        <is>
          <t>TOP (zielony)</t>
        </is>
      </c>
      <c r="G583" t="inlineStr">
        <is>
          <t>+48 733 217 417</t>
        </is>
      </c>
      <c r="J583" t="inlineStr">
        <is>
          <t>Etiudy Rewolucyjnej 44</t>
        </is>
      </c>
      <c r="L583" t="inlineStr">
        <is>
          <t>Wlasciciel / Fachowiec</t>
        </is>
      </c>
      <c r="M583" t="n">
        <v>327</v>
      </c>
      <c r="N583" t="n">
        <v>4.8</v>
      </c>
      <c r="O583" t="inlineStr">
        <is>
          <t>Google Maps</t>
        </is>
      </c>
      <c r="P583" t="inlineStr">
        <is>
          <t>Nowa</t>
        </is>
      </c>
      <c r="S583" t="inlineStr">
        <is>
          <t>[FACHOWIEC - nie klient] Naprawa komputerow. Google Maps: 4.8 gw. z 327 opinii.</t>
        </is>
      </c>
    </row>
    <row r="584">
      <c r="B584" s="34" t="n">
        <v>46135</v>
      </c>
      <c r="C584" t="inlineStr">
        <is>
          <t>SERWIS KOMPUTEROWY</t>
        </is>
      </c>
      <c r="D584" t="inlineStr">
        <is>
          <t>Firmy budowlane</t>
        </is>
      </c>
      <c r="E584" t="inlineStr">
        <is>
          <t>TOP (zielony)</t>
        </is>
      </c>
      <c r="G584" t="inlineStr">
        <is>
          <t>+48 505 375 401</t>
        </is>
      </c>
      <c r="J584" t="inlineStr">
        <is>
          <t> · Miedzynarodowa 32</t>
        </is>
      </c>
      <c r="L584" t="inlineStr">
        <is>
          <t>Wlasciciel / Fachowiec</t>
        </is>
      </c>
      <c r="M584" t="n">
        <v>100</v>
      </c>
      <c r="N584" t="n">
        <v>4.7</v>
      </c>
      <c r="O584" t="inlineStr">
        <is>
          <t>Google Maps</t>
        </is>
      </c>
      <c r="P584" t="inlineStr">
        <is>
          <t>Nowa</t>
        </is>
      </c>
      <c r="S584" t="inlineStr">
        <is>
          <t>[FACHOWIEC - nie klient] Naprawa komputerow. Google Maps: 4.7 gw. z 100 opinii.</t>
        </is>
      </c>
    </row>
    <row r="585">
      <c r="B585" s="34" t="n">
        <v>46135</v>
      </c>
      <c r="C585" t="inlineStr">
        <is>
          <t>Naprawa komputerow - Pogotowie Komputerowe z dojazdem</t>
        </is>
      </c>
      <c r="D585" t="inlineStr">
        <is>
          <t>Firmy budowlane</t>
        </is>
      </c>
      <c r="E585" t="inlineStr">
        <is>
          <t>TOP (zielony)</t>
        </is>
      </c>
      <c r="G585" t="inlineStr">
        <is>
          <t>+48 730 900 730</t>
        </is>
      </c>
      <c r="J585" t="inlineStr">
        <is>
          <t>Lazurowa 87A</t>
        </is>
      </c>
      <c r="L585" t="inlineStr">
        <is>
          <t>Wlasciciel / Fachowiec</t>
        </is>
      </c>
      <c r="M585" t="n">
        <v>151</v>
      </c>
      <c r="N585" t="n">
        <v>4.9</v>
      </c>
      <c r="O585" t="inlineStr">
        <is>
          <t>Google Maps</t>
        </is>
      </c>
      <c r="P585" t="inlineStr">
        <is>
          <t>Nowa</t>
        </is>
      </c>
      <c r="S585" t="inlineStr">
        <is>
          <t>[FACHOWIEC - nie klient] Naprawa komputerow. Google Maps: 4.9 gw. z 151 opinii.</t>
        </is>
      </c>
    </row>
    <row r="586">
      <c r="B586" s="34" t="n">
        <v>46135</v>
      </c>
      <c r="C586" t="inlineStr">
        <is>
          <t>SERWIS KOMPUTEROWY - Serwis Laptopow i Komputerow Stacjonarnych | SERWIS PC</t>
        </is>
      </c>
      <c r="D586" t="inlineStr">
        <is>
          <t>Firmy budowlane</t>
        </is>
      </c>
      <c r="E586" t="inlineStr">
        <is>
          <t>TOP (zielony)</t>
        </is>
      </c>
      <c r="G586" t="inlineStr">
        <is>
          <t>+48 516 700 931</t>
        </is>
      </c>
      <c r="J586" t="inlineStr">
        <is>
          <t> · Hala Kopinska, ppłk. Mieczysława Sokołowskiego „Grzymały” 2</t>
        </is>
      </c>
      <c r="L586" t="inlineStr">
        <is>
          <t>Wlasciciel / Fachowiec</t>
        </is>
      </c>
      <c r="M586" t="n">
        <v>358</v>
      </c>
      <c r="N586" t="n">
        <v>4.3</v>
      </c>
      <c r="O586" t="inlineStr">
        <is>
          <t>Google Maps</t>
        </is>
      </c>
      <c r="P586" t="inlineStr">
        <is>
          <t>Nowa</t>
        </is>
      </c>
      <c r="S586" t="inlineStr">
        <is>
          <t>[FACHOWIEC - nie klient] Naprawa komputerow. Google Maps: 4.3 gw. z 358 opinii.</t>
        </is>
      </c>
    </row>
    <row r="587">
      <c r="B587" s="34" t="n">
        <v>46135</v>
      </c>
      <c r="C587" t="inlineStr">
        <is>
          <t>Naprawa Komputerow i Laptopow Serwis Pogotowie</t>
        </is>
      </c>
      <c r="D587" t="inlineStr">
        <is>
          <t>Firmy budowlane</t>
        </is>
      </c>
      <c r="E587" t="inlineStr">
        <is>
          <t>TOP (zielony)</t>
        </is>
      </c>
      <c r="G587" t="inlineStr">
        <is>
          <t>+48 786 409 187</t>
        </is>
      </c>
      <c r="J587" t="inlineStr">
        <is>
          <t> · Marymoncka 125/Mieszkania 109 pietro 6</t>
        </is>
      </c>
      <c r="L587" t="inlineStr">
        <is>
          <t>Wlasciciel / Fachowiec</t>
        </is>
      </c>
      <c r="M587" t="n">
        <v>228</v>
      </c>
      <c r="N587" t="n">
        <v>4.9</v>
      </c>
      <c r="O587" t="inlineStr">
        <is>
          <t>Google Maps</t>
        </is>
      </c>
      <c r="P587" t="inlineStr">
        <is>
          <t>Nowa</t>
        </is>
      </c>
      <c r="S587" t="inlineStr">
        <is>
          <t>[FACHOWIEC - nie klient] Naprawa komputerow. Google Maps: 4.9 gw. z 228 opinii.</t>
        </is>
      </c>
    </row>
    <row r="588">
      <c r="B588" s="34" t="n">
        <v>46135</v>
      </c>
      <c r="C588" t="inlineStr">
        <is>
          <t>SERWIS KOMPUTEROWY</t>
        </is>
      </c>
      <c r="D588" t="inlineStr">
        <is>
          <t>Firmy budowlane</t>
        </is>
      </c>
      <c r="E588" t="inlineStr">
        <is>
          <t>TOP (zielony)</t>
        </is>
      </c>
      <c r="G588" t="inlineStr">
        <is>
          <t>+48 575 506 759</t>
        </is>
      </c>
      <c r="J588" t="inlineStr">
        <is>
          <t>Polna 18/20</t>
        </is>
      </c>
      <c r="L588" t="inlineStr">
        <is>
          <t>Wlasciciel / Fachowiec</t>
        </is>
      </c>
      <c r="M588" t="n">
        <v>342</v>
      </c>
      <c r="N588" t="n">
        <v>4.3</v>
      </c>
      <c r="O588" t="inlineStr">
        <is>
          <t>Google Maps</t>
        </is>
      </c>
      <c r="P588" t="inlineStr">
        <is>
          <t>Nowa</t>
        </is>
      </c>
      <c r="S588" t="inlineStr">
        <is>
          <t>[FACHOWIEC - nie klient] Naprawa komputerow. Google Maps: 4.3 gw. z 342 opinii.</t>
        </is>
      </c>
    </row>
    <row r="589">
      <c r="B589" s="34" t="n">
        <v>46135</v>
      </c>
      <c r="C589" t="inlineStr">
        <is>
          <t>Usługi Gazownicze - Odbiory - Instalacje gazowe - pogotowie gazowe Warszawa</t>
        </is>
      </c>
      <c r="D589" t="inlineStr">
        <is>
          <t>Firmy budowlane</t>
        </is>
      </c>
      <c r="E589" t="inlineStr">
        <is>
          <t>Niski (czerwony)</t>
        </is>
      </c>
      <c r="F589" t="inlineStr">
        <is>
          <t>Mokotow</t>
        </is>
      </c>
      <c r="G589" t="inlineStr">
        <is>
          <t>+48 514 784 577</t>
        </is>
      </c>
      <c r="J589" t="inlineStr">
        <is>
          <t> · Ksawerow 3</t>
        </is>
      </c>
      <c r="L589" t="inlineStr">
        <is>
          <t>Wlasciciel / Fachowiec</t>
        </is>
      </c>
      <c r="M589" t="n">
        <v>2</v>
      </c>
      <c r="N589" t="n">
        <v>5</v>
      </c>
      <c r="O589" t="inlineStr">
        <is>
          <t>Google Maps</t>
        </is>
      </c>
      <c r="P589" t="inlineStr">
        <is>
          <t>Nowa</t>
        </is>
      </c>
      <c r="S589" t="inlineStr">
        <is>
          <t>[FACHOWIEC - nie klient] Instalacja gazu. Google Maps: 5 gw. z 2 opinii.</t>
        </is>
      </c>
    </row>
    <row r="590">
      <c r="B590" s="34" t="n">
        <v>46135</v>
      </c>
      <c r="C590" t="inlineStr">
        <is>
          <t>Klinika Auto-Gaz</t>
        </is>
      </c>
      <c r="D590" t="inlineStr">
        <is>
          <t>Firmy budowlane</t>
        </is>
      </c>
      <c r="E590" t="inlineStr">
        <is>
          <t>TOP (zielony)</t>
        </is>
      </c>
      <c r="F590" t="inlineStr">
        <is>
          <t>Mokotow</t>
        </is>
      </c>
      <c r="G590" t="inlineStr">
        <is>
          <t>+48 22 616 15 47</t>
        </is>
      </c>
      <c r="J590" t="inlineStr">
        <is>
          <t> · Wał Miedzeszynski 456</t>
        </is>
      </c>
      <c r="L590" t="inlineStr">
        <is>
          <t>Wlasciciel / Fachowiec</t>
        </is>
      </c>
      <c r="M590" t="n">
        <v>381</v>
      </c>
      <c r="N590" t="n">
        <v>4.7</v>
      </c>
      <c r="O590" t="inlineStr">
        <is>
          <t>Google Maps</t>
        </is>
      </c>
      <c r="P590" t="inlineStr">
        <is>
          <t>Nowa</t>
        </is>
      </c>
      <c r="S590" t="inlineStr">
        <is>
          <t>[FACHOWIEC - nie klient] Instalacja gazu. Google Maps: 4.7 gw. z 381 opinii.</t>
        </is>
      </c>
    </row>
    <row r="591">
      <c r="B591" s="34" t="n">
        <v>46135</v>
      </c>
      <c r="C591" t="inlineStr">
        <is>
          <t>Warszawskie Pogotowie Techniczne, złota raczka</t>
        </is>
      </c>
      <c r="D591" t="inlineStr">
        <is>
          <t>Firmy budowlane</t>
        </is>
      </c>
      <c r="E591" t="inlineStr">
        <is>
          <t>TOP (zielony)</t>
        </is>
      </c>
      <c r="F591" t="inlineStr">
        <is>
          <t>Mokotow</t>
        </is>
      </c>
      <c r="G591" t="inlineStr">
        <is>
          <t>+48 512 994 650</t>
        </is>
      </c>
      <c r="J591" t="inlineStr">
        <is>
          <t> · Ksawerow 3</t>
        </is>
      </c>
      <c r="L591" t="inlineStr">
        <is>
          <t>Wlasciciel / Fachowiec</t>
        </is>
      </c>
      <c r="M591" t="n">
        <v>57</v>
      </c>
      <c r="N591" t="n">
        <v>4.1</v>
      </c>
      <c r="O591" t="inlineStr">
        <is>
          <t>Google Maps</t>
        </is>
      </c>
      <c r="P591" t="inlineStr">
        <is>
          <t>Nowa</t>
        </is>
      </c>
      <c r="S591" t="inlineStr">
        <is>
          <t>[FACHOWIEC - nie klient] Instalacja gazu. Google Maps: 4.1 gw. z 57 opinii.</t>
        </is>
      </c>
    </row>
    <row r="592">
      <c r="B592" s="34" t="n">
        <v>46135</v>
      </c>
      <c r="C592" t="inlineStr">
        <is>
          <t>G.EN. GAZ ENERGIA Sp. z o.o.</t>
        </is>
      </c>
      <c r="D592" t="inlineStr">
        <is>
          <t>Firmy budowlane</t>
        </is>
      </c>
      <c r="E592" t="inlineStr">
        <is>
          <t>Niski (czerwony)</t>
        </is>
      </c>
      <c r="F592" t="inlineStr">
        <is>
          <t>Mokotow</t>
        </is>
      </c>
      <c r="G592" t="inlineStr">
        <is>
          <t>+48 61 896 65 29</t>
        </is>
      </c>
      <c r="J592" t="inlineStr">
        <is>
          <t> · Domaniewska 37</t>
        </is>
      </c>
      <c r="L592" t="inlineStr">
        <is>
          <t>Wlasciciel / Fachowiec</t>
        </is>
      </c>
      <c r="M592" t="n">
        <v>86</v>
      </c>
      <c r="N592" t="n">
        <v>2.5</v>
      </c>
      <c r="O592" t="inlineStr">
        <is>
          <t>Google Maps</t>
        </is>
      </c>
      <c r="P592" t="inlineStr">
        <is>
          <t>Nowa</t>
        </is>
      </c>
      <c r="S592" t="inlineStr">
        <is>
          <t>[FACHOWIEC - nie klient] Instalacja gazu. Google Maps: 2.5 gw. z 86 opinii.</t>
        </is>
      </c>
    </row>
    <row r="593">
      <c r="B593" s="34" t="n">
        <v>46135</v>
      </c>
      <c r="C593" t="inlineStr">
        <is>
          <t>Drewniany Wawer</t>
        </is>
      </c>
      <c r="D593" t="inlineStr">
        <is>
          <t>Firmy budowlane</t>
        </is>
      </c>
      <c r="E593" t="inlineStr">
        <is>
          <t>Niski (czerwony)</t>
        </is>
      </c>
      <c r="G593" t="inlineStr">
        <is>
          <t>+48 501 866 635</t>
        </is>
      </c>
      <c r="J593" t="inlineStr">
        <is>
          <t>Wał Miedzeszynski 37</t>
        </is>
      </c>
      <c r="L593" t="inlineStr">
        <is>
          <t>Wlasciciel / Fachowiec</t>
        </is>
      </c>
      <c r="M593" t="n">
        <v>6</v>
      </c>
      <c r="N593" t="n">
        <v>3.8</v>
      </c>
      <c r="O593" t="inlineStr">
        <is>
          <t>Google Maps</t>
        </is>
      </c>
      <c r="P593" t="inlineStr">
        <is>
          <t>Nowa</t>
        </is>
      </c>
      <c r="S593" t="inlineStr">
        <is>
          <t>[FACHOWIEC - nie klient] Cieslia drewniana. Google Maps: 3.8 gw. z 6 opinii.</t>
        </is>
      </c>
    </row>
    <row r="594">
      <c r="B594" s="34" t="n">
        <v>46135</v>
      </c>
      <c r="C594" t="inlineStr">
        <is>
          <t>Dombal</t>
        </is>
      </c>
      <c r="D594" t="inlineStr">
        <is>
          <t>Firmy budowlane</t>
        </is>
      </c>
      <c r="E594" t="inlineStr">
        <is>
          <t>TOP (zielony)</t>
        </is>
      </c>
      <c r="G594" t="inlineStr">
        <is>
          <t>+48 22 672 00 10</t>
        </is>
      </c>
      <c r="J594" t="inlineStr">
        <is>
          <t> · Wał Miedzeszynski 584</t>
        </is>
      </c>
      <c r="L594" t="inlineStr">
        <is>
          <t>Wlasciciel / Fachowiec</t>
        </is>
      </c>
      <c r="M594" t="n">
        <v>147</v>
      </c>
      <c r="N594" t="n">
        <v>4.2</v>
      </c>
      <c r="O594" t="inlineStr">
        <is>
          <t>Google Maps</t>
        </is>
      </c>
      <c r="P594" t="inlineStr">
        <is>
          <t>Nowa</t>
        </is>
      </c>
      <c r="S594" t="inlineStr">
        <is>
          <t>[FACHOWIEC - nie klient] Cieslia drewniana. Google Maps: 4.2 gw. z 147 opinii.</t>
        </is>
      </c>
    </row>
    <row r="595">
      <c r="B595" s="34" t="n">
        <v>46135</v>
      </c>
      <c r="C595" t="inlineStr">
        <is>
          <t>Skład drewna Siekierki</t>
        </is>
      </c>
      <c r="D595" t="inlineStr">
        <is>
          <t>Firmy budowlane</t>
        </is>
      </c>
      <c r="E595" t="inlineStr">
        <is>
          <t>TOP (zielony)</t>
        </is>
      </c>
      <c r="G595" t="inlineStr">
        <is>
          <t>+48 22 651 02 03</t>
        </is>
      </c>
      <c r="J595" t="inlineStr">
        <is>
          <t> · Antoniewska 3A</t>
        </is>
      </c>
      <c r="L595" t="inlineStr">
        <is>
          <t>Wlasciciel / Fachowiec</t>
        </is>
      </c>
      <c r="M595" t="n">
        <v>250</v>
      </c>
      <c r="N595" t="n">
        <v>4.6</v>
      </c>
      <c r="O595" t="inlineStr">
        <is>
          <t>Google Maps</t>
        </is>
      </c>
      <c r="P595" t="inlineStr">
        <is>
          <t>Nowa</t>
        </is>
      </c>
      <c r="S595" t="inlineStr">
        <is>
          <t>[FACHOWIEC - nie klient] Cieslia drewniana. Google Maps: 4.6 gw. z 250 opinii.</t>
        </is>
      </c>
    </row>
    <row r="596">
      <c r="B596" s="34" t="n">
        <v>46135</v>
      </c>
      <c r="C596" t="inlineStr">
        <is>
          <t>Szkarłat WOODCLUB drewno egzotyczne Warszawa | Punkt sprzedazy</t>
        </is>
      </c>
      <c r="D596" t="inlineStr">
        <is>
          <t>Firmy budowlane</t>
        </is>
      </c>
      <c r="E596" t="inlineStr">
        <is>
          <t>TOP (zielony)</t>
        </is>
      </c>
      <c r="G596" t="inlineStr">
        <is>
          <t>+48 609 528 131</t>
        </is>
      </c>
      <c r="J596" t="inlineStr">
        <is>
          <t> · Modlinska 231</t>
        </is>
      </c>
      <c r="L596" t="inlineStr">
        <is>
          <t>Wlasciciel / Fachowiec</t>
        </is>
      </c>
      <c r="M596" t="n">
        <v>36</v>
      </c>
      <c r="N596" t="n">
        <v>4.6</v>
      </c>
      <c r="O596" t="inlineStr">
        <is>
          <t>Google Maps</t>
        </is>
      </c>
      <c r="P596" t="inlineStr">
        <is>
          <t>Nowa</t>
        </is>
      </c>
      <c r="S596" t="inlineStr">
        <is>
          <t>[FACHOWIEC - nie klient] Cieslia drewniana. Google Maps: 4.6 gw. z 36 opinii.</t>
        </is>
      </c>
    </row>
    <row r="597">
      <c r="B597" s="34" t="n">
        <v>46135</v>
      </c>
      <c r="C597" t="inlineStr">
        <is>
          <t>Zagłoba 2. Drewno Egzotyczne s.c.</t>
        </is>
      </c>
      <c r="D597" t="inlineStr">
        <is>
          <t>Firmy budowlane</t>
        </is>
      </c>
      <c r="E597" t="inlineStr">
        <is>
          <t>TOP (zielony)</t>
        </is>
      </c>
      <c r="G597" t="inlineStr">
        <is>
          <t>+48 22 722 91 60</t>
        </is>
      </c>
      <c r="J597" t="inlineStr">
        <is>
          <t> · Wieruchowska 139</t>
        </is>
      </c>
      <c r="L597" t="inlineStr">
        <is>
          <t>Wlasciciel / Fachowiec</t>
        </is>
      </c>
      <c r="M597" t="n">
        <v>60</v>
      </c>
      <c r="N597" t="n">
        <v>4.9</v>
      </c>
      <c r="O597" t="inlineStr">
        <is>
          <t>Google Maps</t>
        </is>
      </c>
      <c r="P597" t="inlineStr">
        <is>
          <t>Nowa</t>
        </is>
      </c>
      <c r="S597" t="inlineStr">
        <is>
          <t>[FACHOWIEC - nie klient] Cieslia drewniana. Google Maps: 4.9 gw. z 60 opinii.</t>
        </is>
      </c>
    </row>
    <row r="598">
      <c r="B598" s="34" t="n">
        <v>46135</v>
      </c>
      <c r="C598" t="inlineStr">
        <is>
          <t>A.M. TIMBER TEAM - Tarasy kompozytowe i drewniane oraz pergole aluminiowe</t>
        </is>
      </c>
      <c r="D598" t="inlineStr">
        <is>
          <t>Firmy budowlane</t>
        </is>
      </c>
      <c r="E598" t="inlineStr">
        <is>
          <t>TOP (zielony)</t>
        </is>
      </c>
      <c r="G598" t="inlineStr">
        <is>
          <t>+48 692 921 567</t>
        </is>
      </c>
      <c r="J598" t="inlineStr">
        <is>
          <t>Narwik 12/21</t>
        </is>
      </c>
      <c r="L598" t="inlineStr">
        <is>
          <t>Wlasciciel / Fachowiec</t>
        </is>
      </c>
      <c r="M598" t="n">
        <v>98</v>
      </c>
      <c r="N598" t="n">
        <v>5</v>
      </c>
      <c r="O598" t="inlineStr">
        <is>
          <t>Google Maps</t>
        </is>
      </c>
      <c r="P598" t="inlineStr">
        <is>
          <t>Nowa</t>
        </is>
      </c>
      <c r="S598" t="inlineStr">
        <is>
          <t>[FACHOWIEC - nie klient] Budowa tarasu. Google Maps: 5 gw. z 98 opinii.</t>
        </is>
      </c>
    </row>
    <row r="599">
      <c r="B599" s="34" t="n">
        <v>46135</v>
      </c>
      <c r="C599" t="inlineStr">
        <is>
          <t>WoodYou – tarasy i zadaszenia, elewacje, altany, ogrody zimowe (Warszawa: Gorczewska &amp; Namysłowska)</t>
        </is>
      </c>
      <c r="D599" t="inlineStr">
        <is>
          <t>Firmy budowlane</t>
        </is>
      </c>
      <c r="E599" t="inlineStr">
        <is>
          <t>TOP (zielony)</t>
        </is>
      </c>
      <c r="G599" t="inlineStr">
        <is>
          <t>+48 574 180 596</t>
        </is>
      </c>
      <c r="J599" t="inlineStr">
        <is>
          <t>Gorczewska 125</t>
        </is>
      </c>
      <c r="L599" t="inlineStr">
        <is>
          <t>Wlasciciel / Fachowiec</t>
        </is>
      </c>
      <c r="M599" t="n">
        <v>36</v>
      </c>
      <c r="N599" t="n">
        <v>5</v>
      </c>
      <c r="O599" t="inlineStr">
        <is>
          <t>Google Maps</t>
        </is>
      </c>
      <c r="P599" t="inlineStr">
        <is>
          <t>Nowa</t>
        </is>
      </c>
      <c r="S599" t="inlineStr">
        <is>
          <t>[FACHOWIEC - nie klient] Budowa tarasu. Google Maps: 5 gw. z 36 opinii.</t>
        </is>
      </c>
    </row>
    <row r="600">
      <c r="B600" s="34" t="n">
        <v>46135</v>
      </c>
      <c r="C600" t="inlineStr">
        <is>
          <t>asy Wesoła - Montaz tarasow kompozytowych i drewnianych, pergoli, wiat garazowych, ogrodow zimowych, ogrodzen.</t>
        </is>
      </c>
      <c r="D600" t="inlineStr">
        <is>
          <t>Firmy budowlane</t>
        </is>
      </c>
      <c r="E600" t="inlineStr">
        <is>
          <t>Sredni (zolty)</t>
        </is>
      </c>
      <c r="G600" t="inlineStr">
        <is>
          <t>+48 519 148 104</t>
        </is>
      </c>
      <c r="J600" t="inlineStr">
        <is>
          <t>Urocza 102</t>
        </is>
      </c>
      <c r="L600" t="inlineStr">
        <is>
          <t>Wlasciciel / Fachowiec</t>
        </is>
      </c>
      <c r="M600" t="n">
        <v>6</v>
      </c>
      <c r="N600" t="n">
        <v>5</v>
      </c>
      <c r="O600" t="inlineStr">
        <is>
          <t>Google Maps</t>
        </is>
      </c>
      <c r="P600" t="inlineStr">
        <is>
          <t>Nowa</t>
        </is>
      </c>
      <c r="S600" t="inlineStr">
        <is>
          <t>[FACHOWIEC - nie klient] Budowa tarasu. Google Maps: 5 gw. z 6 opinii.</t>
        </is>
      </c>
    </row>
    <row r="601">
      <c r="B601" s="34" t="n">
        <v>46135</v>
      </c>
      <c r="C601" t="inlineStr">
        <is>
          <t>APLO Pergole Warszawa</t>
        </is>
      </c>
      <c r="D601" t="inlineStr">
        <is>
          <t>Firmy budowlane</t>
        </is>
      </c>
      <c r="E601" t="inlineStr">
        <is>
          <t>TOP (zielony)</t>
        </is>
      </c>
      <c r="G601" t="inlineStr">
        <is>
          <t>+48 501 000 200</t>
        </is>
      </c>
      <c r="J601" t="inlineStr">
        <is>
          <t> · Waniliowa 3D</t>
        </is>
      </c>
      <c r="L601" t="inlineStr">
        <is>
          <t>Wlasciciel / Fachowiec</t>
        </is>
      </c>
      <c r="M601" t="n">
        <v>51</v>
      </c>
      <c r="N601" t="n">
        <v>4.8</v>
      </c>
      <c r="O601" t="inlineStr">
        <is>
          <t>Google Maps</t>
        </is>
      </c>
      <c r="P601" t="inlineStr">
        <is>
          <t>Nowa</t>
        </is>
      </c>
      <c r="S601" t="inlineStr">
        <is>
          <t>[FACHOWIEC - nie klient] Budowa tarasu. Google Maps: 4.8 gw. z 51 opinii.</t>
        </is>
      </c>
    </row>
    <row r="602">
      <c r="B602" s="34" t="n">
        <v>46135</v>
      </c>
      <c r="C602" t="inlineStr">
        <is>
          <t>deski-tarasowe.com</t>
        </is>
      </c>
      <c r="D602" t="inlineStr">
        <is>
          <t>Firmy budowlane</t>
        </is>
      </c>
      <c r="E602" t="inlineStr">
        <is>
          <t>TOP (zielony)</t>
        </is>
      </c>
      <c r="G602" t="inlineStr">
        <is>
          <t>+48 535 772 266</t>
        </is>
      </c>
      <c r="J602" t="inlineStr">
        <is>
          <t>Poprzeczna 3a</t>
        </is>
      </c>
      <c r="L602" t="inlineStr">
        <is>
          <t>Wlasciciel / Fachowiec</t>
        </is>
      </c>
      <c r="M602" t="n">
        <v>63</v>
      </c>
      <c r="N602" t="n">
        <v>4.7</v>
      </c>
      <c r="O602" t="inlineStr">
        <is>
          <t>Google Maps</t>
        </is>
      </c>
      <c r="P602" t="inlineStr">
        <is>
          <t>Nowa</t>
        </is>
      </c>
      <c r="S602" t="inlineStr">
        <is>
          <t>[FACHOWIEC - nie klient] Budowa tarasu. Google Maps: 4.7 gw. z 63 opinii.</t>
        </is>
      </c>
    </row>
    <row r="603">
      <c r="B603" s="34" t="n">
        <v>46135</v>
      </c>
      <c r="C603" t="inlineStr">
        <is>
          <t>Tarasy Drewniane - Gornicki</t>
        </is>
      </c>
      <c r="D603" t="inlineStr">
        <is>
          <t>Firmy budowlane</t>
        </is>
      </c>
      <c r="E603" t="inlineStr">
        <is>
          <t>Niski (czerwony)</t>
        </is>
      </c>
      <c r="G603" t="inlineStr">
        <is>
          <t>+48 601 623 381</t>
        </is>
      </c>
      <c r="J603" t="inlineStr">
        <is>
          <t>Makolagwy 14</t>
        </is>
      </c>
      <c r="L603" t="inlineStr">
        <is>
          <t>Wlasciciel / Fachowiec</t>
        </is>
      </c>
      <c r="M603" t="n">
        <v>1</v>
      </c>
      <c r="N603" t="n">
        <v>5</v>
      </c>
      <c r="O603" t="inlineStr">
        <is>
          <t>Google Maps</t>
        </is>
      </c>
      <c r="P603" t="inlineStr">
        <is>
          <t>Nowa</t>
        </is>
      </c>
      <c r="S603" t="inlineStr">
        <is>
          <t>[FACHOWIEC - nie klient] Budowa tarasu. Google Maps: 5 gw. z 1 opinii.</t>
        </is>
      </c>
    </row>
    <row r="604">
      <c r="B604" s="34" t="n">
        <v>46135</v>
      </c>
      <c r="C604" t="inlineStr">
        <is>
          <t>iet Studio - podłogi drewniane warszawa, schody drewniane, parkiety drewniane, deski debowe, Bartycka salon 94</t>
        </is>
      </c>
      <c r="D604" t="inlineStr">
        <is>
          <t>Firmy budowlane</t>
        </is>
      </c>
      <c r="E604" t="inlineStr">
        <is>
          <t>TOP (zielony)</t>
        </is>
      </c>
      <c r="G604" t="inlineStr">
        <is>
          <t>+48 793 003 025</t>
        </is>
      </c>
      <c r="J604" t="inlineStr">
        <is>
          <t> · salon 94, Bartycka 24/26</t>
        </is>
      </c>
      <c r="L604" t="inlineStr">
        <is>
          <t>Wlasciciel / Fachowiec</t>
        </is>
      </c>
      <c r="M604" t="n">
        <v>44</v>
      </c>
      <c r="N604" t="n">
        <v>4.7</v>
      </c>
      <c r="O604" t="inlineStr">
        <is>
          <t>Google Maps</t>
        </is>
      </c>
      <c r="P604" t="inlineStr">
        <is>
          <t>Nowa</t>
        </is>
      </c>
      <c r="S604" t="inlineStr">
        <is>
          <t>[FACHOWIEC - nie klient] Budowa tarasu. Google Maps: 4.7 gw. z 44 opinii.</t>
        </is>
      </c>
    </row>
    <row r="605">
      <c r="B605" s="34" t="n">
        <v>46135</v>
      </c>
      <c r="C605" t="inlineStr">
        <is>
          <t>Aqua World Sp. z o.o. - baseny, fontanny, zbiorniki tworzywowe i SPA</t>
        </is>
      </c>
      <c r="D605" t="inlineStr">
        <is>
          <t>Firmy budowlane</t>
        </is>
      </c>
      <c r="E605" t="inlineStr">
        <is>
          <t>TOP (zielony)</t>
        </is>
      </c>
      <c r="G605" t="inlineStr">
        <is>
          <t>+48 22 299 09 85</t>
        </is>
      </c>
      <c r="J605" t="inlineStr">
        <is>
          <t>Wolnosci 3</t>
        </is>
      </c>
      <c r="L605" t="inlineStr">
        <is>
          <t>Wlasciciel / Fachowiec</t>
        </is>
      </c>
      <c r="M605" t="n">
        <v>22</v>
      </c>
      <c r="N605" t="n">
        <v>4.6</v>
      </c>
      <c r="O605" t="inlineStr">
        <is>
          <t>Google Maps</t>
        </is>
      </c>
      <c r="P605" t="inlineStr">
        <is>
          <t>Nowa</t>
        </is>
      </c>
      <c r="S605" t="inlineStr">
        <is>
          <t>[FACHOWIEC - nie klient] Baseny - budowa. Google Maps: 4.6 gw. z 22 opinii.</t>
        </is>
      </c>
    </row>
    <row r="606">
      <c r="B606" s="34" t="n">
        <v>46135</v>
      </c>
      <c r="C606" t="inlineStr">
        <is>
          <t>Folkpool Baseny | Budowa Basenow - Wanny Spa</t>
        </is>
      </c>
      <c r="D606" t="inlineStr">
        <is>
          <t>Firmy budowlane</t>
        </is>
      </c>
      <c r="E606" t="inlineStr">
        <is>
          <t>TOP (zielony)</t>
        </is>
      </c>
      <c r="G606" t="inlineStr">
        <is>
          <t>+48 784 379 067</t>
        </is>
      </c>
      <c r="J606" t="inlineStr">
        <is>
          <t>Mehoffera 75</t>
        </is>
      </c>
      <c r="L606" t="inlineStr">
        <is>
          <t>Wlasciciel / Fachowiec</t>
        </is>
      </c>
      <c r="M606" t="n">
        <v>54</v>
      </c>
      <c r="N606" t="n">
        <v>4.7</v>
      </c>
      <c r="O606" t="inlineStr">
        <is>
          <t>Google Maps</t>
        </is>
      </c>
      <c r="P606" t="inlineStr">
        <is>
          <t>Nowa</t>
        </is>
      </c>
      <c r="S606" t="inlineStr">
        <is>
          <t>[FACHOWIEC - nie klient] Baseny - budowa. Google Maps: 4.7 gw. z 54 opinii.</t>
        </is>
      </c>
    </row>
    <row r="607">
      <c r="B607" s="34" t="n">
        <v>46135</v>
      </c>
      <c r="C607" t="inlineStr">
        <is>
          <t>Mar Instalbas Budowa Basenow</t>
        </is>
      </c>
      <c r="D607" t="inlineStr">
        <is>
          <t>Firmy budowlane</t>
        </is>
      </c>
      <c r="E607" t="inlineStr">
        <is>
          <t>Sredni (zolty)</t>
        </is>
      </c>
      <c r="G607" t="inlineStr">
        <is>
          <t>+48 603 128 667</t>
        </is>
      </c>
      <c r="J607" t="inlineStr">
        <is>
          <t>Katy Grodziskie 13B</t>
        </is>
      </c>
      <c r="L607" t="inlineStr">
        <is>
          <t>Wlasciciel / Fachowiec</t>
        </is>
      </c>
      <c r="M607" t="n">
        <v>8</v>
      </c>
      <c r="N607" t="n">
        <v>5</v>
      </c>
      <c r="O607" t="inlineStr">
        <is>
          <t>Google Maps</t>
        </is>
      </c>
      <c r="P607" t="inlineStr">
        <is>
          <t>Nowa</t>
        </is>
      </c>
      <c r="S607" t="inlineStr">
        <is>
          <t>[FACHOWIEC - nie klient] Baseny - budowa. Google Maps: 5 gw. z 8 opinii.</t>
        </is>
      </c>
    </row>
    <row r="608">
      <c r="B608" s="34" t="n">
        <v>46135</v>
      </c>
      <c r="C608" t="inlineStr">
        <is>
          <t>AQUATIC BASENY</t>
        </is>
      </c>
      <c r="D608" t="inlineStr">
        <is>
          <t>Firmy budowlane</t>
        </is>
      </c>
      <c r="E608" t="inlineStr">
        <is>
          <t>Niski (czerwony)</t>
        </is>
      </c>
      <c r="G608" t="inlineStr">
        <is>
          <t>+48 505 988 656</t>
        </is>
      </c>
      <c r="J608" t="inlineStr">
        <is>
          <t>Ul. Janusza, Jerzego Holzera 4</t>
        </is>
      </c>
      <c r="L608" t="inlineStr">
        <is>
          <t>Wlasciciel / Fachowiec</t>
        </is>
      </c>
      <c r="M608" t="n">
        <v>3</v>
      </c>
      <c r="N608" t="n">
        <v>5</v>
      </c>
      <c r="O608" t="inlineStr">
        <is>
          <t>Google Maps</t>
        </is>
      </c>
      <c r="P608" t="inlineStr">
        <is>
          <t>Nowa</t>
        </is>
      </c>
      <c r="S608" t="inlineStr">
        <is>
          <t>[FACHOWIEC - nie klient] Baseny - budowa. Google Maps: 5 gw. z 3 opinii.</t>
        </is>
      </c>
    </row>
    <row r="609">
      <c r="B609" s="34" t="n">
        <v>46135</v>
      </c>
      <c r="C609" t="inlineStr">
        <is>
          <t>ELNO Piotr Nowak</t>
        </is>
      </c>
      <c r="D609" t="inlineStr">
        <is>
          <t>Firmy budowlane</t>
        </is>
      </c>
      <c r="E609" t="inlineStr">
        <is>
          <t>TOP (zielony)</t>
        </is>
      </c>
      <c r="G609" t="inlineStr">
        <is>
          <t>+48 22 617 37 33</t>
        </is>
      </c>
      <c r="J609" t="inlineStr">
        <is>
          <t>Zwyciezcow 48</t>
        </is>
      </c>
      <c r="L609" t="inlineStr">
        <is>
          <t>Wlasciciel / Fachowiec</t>
        </is>
      </c>
      <c r="M609" t="n">
        <v>25</v>
      </c>
      <c r="N609" t="n">
        <v>4.4</v>
      </c>
      <c r="O609" t="inlineStr">
        <is>
          <t>Google Maps</t>
        </is>
      </c>
      <c r="P609" t="inlineStr">
        <is>
          <t>Nowa</t>
        </is>
      </c>
      <c r="S609" t="inlineStr">
        <is>
          <t>[FACHOWIEC - nie klient] Baseny - budowa. Google Maps: 4.4 gw. z 25 opinii.</t>
        </is>
      </c>
    </row>
    <row r="610">
      <c r="B610" s="34" t="n">
        <v>46135</v>
      </c>
      <c r="C610" t="inlineStr">
        <is>
          <t>Budowa basenow System Universal</t>
        </is>
      </c>
      <c r="D610" t="inlineStr">
        <is>
          <t>Firmy budowlane</t>
        </is>
      </c>
      <c r="E610" t="inlineStr">
        <is>
          <t>Niski (czerwony)</t>
        </is>
      </c>
      <c r="G610" t="inlineStr">
        <is>
          <t>+48 697 120 026</t>
        </is>
      </c>
      <c r="J610" t="inlineStr">
        <is>
          <t>Agrarna 4A</t>
        </is>
      </c>
      <c r="L610" t="inlineStr">
        <is>
          <t>Wlasciciel / Fachowiec</t>
        </is>
      </c>
      <c r="M610" t="n">
        <v>1</v>
      </c>
      <c r="N610" t="n">
        <v>5</v>
      </c>
      <c r="O610" t="inlineStr">
        <is>
          <t>Google Maps</t>
        </is>
      </c>
      <c r="P610" t="inlineStr">
        <is>
          <t>Nowa</t>
        </is>
      </c>
      <c r="S610" t="inlineStr">
        <is>
          <t>[FACHOWIEC - nie klient] Baseny - budowa. Google Maps: 5 gw. z 1 opinii.</t>
        </is>
      </c>
    </row>
    <row r="611">
      <c r="B611" s="34" t="n">
        <v>46135</v>
      </c>
      <c r="C611" t="inlineStr">
        <is>
          <t>Baspol WszystkoDoBasenow.pl</t>
        </is>
      </c>
      <c r="D611" t="inlineStr">
        <is>
          <t>Firmy budowlane</t>
        </is>
      </c>
      <c r="E611" t="inlineStr">
        <is>
          <t>TOP (zielony)</t>
        </is>
      </c>
      <c r="G611" t="inlineStr">
        <is>
          <t>+48 22 618 15 03</t>
        </is>
      </c>
      <c r="J611" t="inlineStr">
        <is>
          <t> · Sadowa 16</t>
        </is>
      </c>
      <c r="L611" t="inlineStr">
        <is>
          <t>Wlasciciel / Fachowiec</t>
        </is>
      </c>
      <c r="M611" t="n">
        <v>150</v>
      </c>
      <c r="N611" t="n">
        <v>4.6</v>
      </c>
      <c r="O611" t="inlineStr">
        <is>
          <t>Google Maps</t>
        </is>
      </c>
      <c r="P611" t="inlineStr">
        <is>
          <t>Nowa</t>
        </is>
      </c>
      <c r="S611" t="inlineStr">
        <is>
          <t>[FACHOWIEC - nie klient] Baseny - budowa. Google Maps: 4.6 gw. z 150 opinii.</t>
        </is>
      </c>
    </row>
    <row r="612">
      <c r="B612" s="34" t="n">
        <v>46135</v>
      </c>
      <c r="C612" t="inlineStr">
        <is>
          <t>KOMINKI-GRZEWCZE Warszawa, Piaseczno</t>
        </is>
      </c>
      <c r="D612" t="inlineStr">
        <is>
          <t>Firmy budowlane</t>
        </is>
      </c>
      <c r="E612" t="inlineStr">
        <is>
          <t>TOP (zielony)</t>
        </is>
      </c>
      <c r="G612" t="inlineStr">
        <is>
          <t>+48 604 452 453</t>
        </is>
      </c>
      <c r="J612" t="inlineStr">
        <is>
          <t> · Puławska 7/9</t>
        </is>
      </c>
      <c r="L612" t="inlineStr">
        <is>
          <t>Wlasciciel / Fachowiec</t>
        </is>
      </c>
      <c r="M612" t="n">
        <v>306</v>
      </c>
      <c r="N612" t="n">
        <v>5</v>
      </c>
      <c r="O612" t="inlineStr">
        <is>
          <t>Google Maps</t>
        </is>
      </c>
      <c r="P612" t="inlineStr">
        <is>
          <t>Nowa</t>
        </is>
      </c>
      <c r="S612" t="inlineStr">
        <is>
          <t>[FACHOWIEC - nie klient] Kominki. Google Maps: 5 gw. z 306 opinii.</t>
        </is>
      </c>
    </row>
    <row r="613">
      <c r="B613" s="34" t="n">
        <v>46135</v>
      </c>
      <c r="C613" t="inlineStr">
        <is>
          <t>KlimaCarSerwis</t>
        </is>
      </c>
      <c r="D613" t="inlineStr">
        <is>
          <t>Firmy budowlane</t>
        </is>
      </c>
      <c r="E613" t="inlineStr">
        <is>
          <t>TOP (zielony)</t>
        </is>
      </c>
      <c r="G613" t="inlineStr">
        <is>
          <t>+48 501 921 015</t>
        </is>
      </c>
      <c r="J613" t="inlineStr">
        <is>
          <t> · Zygmunta Słominskiego 1/lok. 42A</t>
        </is>
      </c>
      <c r="L613" t="inlineStr">
        <is>
          <t>Wlasciciel / Fachowiec</t>
        </is>
      </c>
      <c r="M613" t="n">
        <v>179</v>
      </c>
      <c r="N613" t="n">
        <v>4.9</v>
      </c>
      <c r="O613" t="inlineStr">
        <is>
          <t>Google Maps</t>
        </is>
      </c>
      <c r="P613" t="inlineStr">
        <is>
          <t>Nowa</t>
        </is>
      </c>
      <c r="S613" t="inlineStr">
        <is>
          <t>[FACHOWIEC - nie klient] Klima samochodowa. Google Maps: 4.9 gw. z 179 opinii.</t>
        </is>
      </c>
    </row>
    <row r="614">
      <c r="B614" s="34" t="n">
        <v>46135</v>
      </c>
      <c r="C614" t="inlineStr">
        <is>
          <t>Klimatyzacja Samochodowa - Serwis Klimatyzacji i Odgrzybianie</t>
        </is>
      </c>
      <c r="D614" t="inlineStr">
        <is>
          <t>Firmy budowlane</t>
        </is>
      </c>
      <c r="E614" t="inlineStr">
        <is>
          <t>TOP (zielony)</t>
        </is>
      </c>
      <c r="G614" t="inlineStr">
        <is>
          <t>+48 537 777 277</t>
        </is>
      </c>
      <c r="J614" t="inlineStr">
        <is>
          <t> · Łopuszanska 22</t>
        </is>
      </c>
      <c r="L614" t="inlineStr">
        <is>
          <t>Wlasciciel / Fachowiec</t>
        </is>
      </c>
      <c r="M614" t="n">
        <v>47</v>
      </c>
      <c r="N614" t="n">
        <v>4.3</v>
      </c>
      <c r="O614" t="inlineStr">
        <is>
          <t>Google Maps</t>
        </is>
      </c>
      <c r="P614" t="inlineStr">
        <is>
          <t>Nowa</t>
        </is>
      </c>
      <c r="S614" t="inlineStr">
        <is>
          <t>[FACHOWIEC - nie klient] Klima samochodowa. Google Maps: 4.3 gw. z 47 opinii.</t>
        </is>
      </c>
    </row>
    <row r="615">
      <c r="B615" s="34" t="n">
        <v>46135</v>
      </c>
      <c r="C615" t="inlineStr">
        <is>
          <t>Serwis klimatyzacji samochodowej Warszawa</t>
        </is>
      </c>
      <c r="D615" t="inlineStr">
        <is>
          <t>Firmy budowlane</t>
        </is>
      </c>
      <c r="E615" t="inlineStr">
        <is>
          <t>TOP (zielony)</t>
        </is>
      </c>
      <c r="G615" t="inlineStr">
        <is>
          <t>+48 22 270 10 13</t>
        </is>
      </c>
      <c r="J615" t="inlineStr">
        <is>
          <t> · Heroldow 7/lokal 1</t>
        </is>
      </c>
      <c r="L615" t="inlineStr">
        <is>
          <t>Wlasciciel / Fachowiec</t>
        </is>
      </c>
      <c r="M615" t="n">
        <v>31</v>
      </c>
      <c r="N615" t="n">
        <v>4</v>
      </c>
      <c r="O615" t="inlineStr">
        <is>
          <t>Google Maps</t>
        </is>
      </c>
      <c r="P615" t="inlineStr">
        <is>
          <t>Nowa</t>
        </is>
      </c>
      <c r="S615" t="inlineStr">
        <is>
          <t>[FACHOWIEC - nie klient] Klima samochodowa. Google Maps: 4 gw. z 31 opinii.</t>
        </is>
      </c>
    </row>
    <row r="616">
      <c r="B616" s="34" t="n">
        <v>46135</v>
      </c>
      <c r="C616" t="inlineStr">
        <is>
          <t>Hurtownia Klimatyzacji i Chłodnictwa - Technika Chłodzenia sp. z o.o.</t>
        </is>
      </c>
      <c r="D616" t="inlineStr">
        <is>
          <t>Firmy budowlane</t>
        </is>
      </c>
      <c r="E616" t="inlineStr">
        <is>
          <t>TOP (zielony)</t>
        </is>
      </c>
      <c r="G616" t="inlineStr">
        <is>
          <t>+48 22 112 50 61</t>
        </is>
      </c>
      <c r="J616" t="inlineStr">
        <is>
          <t> · Swierszcza 44</t>
        </is>
      </c>
      <c r="L616" t="inlineStr">
        <is>
          <t>Wlasciciel / Fachowiec</t>
        </is>
      </c>
      <c r="M616" t="n">
        <v>55</v>
      </c>
      <c r="N616" t="n">
        <v>4.8</v>
      </c>
      <c r="O616" t="inlineStr">
        <is>
          <t>Google Maps</t>
        </is>
      </c>
      <c r="P616" t="inlineStr">
        <is>
          <t>Nowa</t>
        </is>
      </c>
      <c r="S616" t="inlineStr">
        <is>
          <t>[FACHOWIEC - nie klient] Chlodnictwo przemyslowe. Google Maps: 4.8 gw. z 55 opinii.</t>
        </is>
      </c>
    </row>
    <row r="617">
      <c r="B617" s="34" t="n">
        <v>46135</v>
      </c>
      <c r="C617" t="inlineStr">
        <is>
          <t>Chłodni S.C.</t>
        </is>
      </c>
      <c r="D617" t="inlineStr">
        <is>
          <t>Firmy budowlane</t>
        </is>
      </c>
      <c r="E617" t="inlineStr">
        <is>
          <t>TOP (zielony)</t>
        </is>
      </c>
      <c r="G617" t="inlineStr">
        <is>
          <t>+48 22 665 57 14</t>
        </is>
      </c>
      <c r="J617" t="inlineStr">
        <is>
          <t> · Graniczna 48</t>
        </is>
      </c>
      <c r="L617" t="inlineStr">
        <is>
          <t>Wlasciciel / Fachowiec</t>
        </is>
      </c>
      <c r="M617" t="n">
        <v>21</v>
      </c>
      <c r="N617" t="n">
        <v>4.6</v>
      </c>
      <c r="O617" t="inlineStr">
        <is>
          <t>Google Maps</t>
        </is>
      </c>
      <c r="P617" t="inlineStr">
        <is>
          <t>Nowa</t>
        </is>
      </c>
      <c r="S617" t="inlineStr">
        <is>
          <t>[FACHOWIEC - nie klient] Chlodnictwo przemyslowe. Google Maps: 4.6 gw. z 21 opinii.</t>
        </is>
      </c>
    </row>
    <row r="618">
      <c r="B618" s="34" t="n">
        <v>46135</v>
      </c>
      <c r="C618" t="inlineStr">
        <is>
          <t>Hurtownia Popularna - Czesci do AGD, komponenty Chłodnicze, Klimatyzacyjne, Wentylacyjne.</t>
        </is>
      </c>
      <c r="D618" t="inlineStr">
        <is>
          <t>Firmy budowlane</t>
        </is>
      </c>
      <c r="E618" t="inlineStr">
        <is>
          <t>TOP (zielony)</t>
        </is>
      </c>
      <c r="G618" t="inlineStr">
        <is>
          <t>+48 22 417 06 00</t>
        </is>
      </c>
      <c r="J618" t="inlineStr">
        <is>
          <t> · Kleszczowa 16</t>
        </is>
      </c>
      <c r="L618" t="inlineStr">
        <is>
          <t>Wlasciciel / Fachowiec</t>
        </is>
      </c>
      <c r="M618" t="n">
        <v>417</v>
      </c>
      <c r="N618" t="n">
        <v>4.1</v>
      </c>
      <c r="O618" t="inlineStr">
        <is>
          <t>Google Maps</t>
        </is>
      </c>
      <c r="P618" t="inlineStr">
        <is>
          <t>Nowa</t>
        </is>
      </c>
      <c r="S618" t="inlineStr">
        <is>
          <t>[FACHOWIEC - nie klient] Chlodnictwo przemyslowe. Google Maps: 4.1 gw. z 417 opinii.</t>
        </is>
      </c>
    </row>
    <row r="619">
      <c r="B619" s="34" t="n">
        <v>46135</v>
      </c>
      <c r="C619" t="inlineStr">
        <is>
          <t>Mababud - Remonty i Wykonczenia Wnetrz Warszawa</t>
        </is>
      </c>
      <c r="D619" t="inlineStr">
        <is>
          <t>Firmy budowlane</t>
        </is>
      </c>
      <c r="E619" t="inlineStr">
        <is>
          <t>TOP (zielony)</t>
        </is>
      </c>
      <c r="G619" t="inlineStr">
        <is>
          <t>+48 601 222 412</t>
        </is>
      </c>
      <c r="J619" t="inlineStr">
        <is>
          <t>ul. F, Franciszka Kawy 44/7</t>
        </is>
      </c>
      <c r="L619" t="inlineStr">
        <is>
          <t>Wlasciciel / Fachowiec</t>
        </is>
      </c>
      <c r="M619" t="n">
        <v>60</v>
      </c>
      <c r="N619" t="n">
        <v>4.7</v>
      </c>
      <c r="O619" t="inlineStr">
        <is>
          <t>Google Maps</t>
        </is>
      </c>
      <c r="P619" t="inlineStr">
        <is>
          <t>Nowa</t>
        </is>
      </c>
      <c r="S619" t="inlineStr">
        <is>
          <t>[FACHOWIEC - nie klient] Ekipa budowlana. Google Maps: 4.7 gw. z 60 opinii.</t>
        </is>
      </c>
    </row>
    <row r="620">
      <c r="B620" s="34" t="n">
        <v>46135</v>
      </c>
      <c r="C620" t="inlineStr">
        <is>
          <t>Wykonczenia wnetrz pod klucz i Remonty Warszawa – VRILBUD – Audyt Techniczny</t>
        </is>
      </c>
      <c r="D620" t="inlineStr">
        <is>
          <t>Firmy budowlane</t>
        </is>
      </c>
      <c r="E620" t="inlineStr">
        <is>
          <t>TOP (zielony)</t>
        </is>
      </c>
      <c r="G620" t="inlineStr">
        <is>
          <t>+48 504 948 950</t>
        </is>
      </c>
      <c r="J620" t="inlineStr">
        <is>
          <t> · Mazowiecka, Franciszka Klimczaka 11</t>
        </is>
      </c>
      <c r="L620" t="inlineStr">
        <is>
          <t>Wlasciciel / Fachowiec</t>
        </is>
      </c>
      <c r="M620" t="n">
        <v>67</v>
      </c>
      <c r="N620" t="n">
        <v>4.3</v>
      </c>
      <c r="O620" t="inlineStr">
        <is>
          <t>Google Maps</t>
        </is>
      </c>
      <c r="P620" t="inlineStr">
        <is>
          <t>Nowa</t>
        </is>
      </c>
      <c r="S620" t="inlineStr">
        <is>
          <t>[FACHOWIEC - nie klient] Ekipa budowlana. Google Maps: 4.3 gw. z 67 opinii.</t>
        </is>
      </c>
    </row>
    <row r="621">
      <c r="B621" s="34" t="n">
        <v>46135</v>
      </c>
      <c r="C621" t="inlineStr">
        <is>
          <t>NAJLEPSZA EKIPA Remontowa - Remonty Warszawa, wykonczenia wnetrz, usługi remontowe i wykonczeniowe</t>
        </is>
      </c>
      <c r="D621" t="inlineStr">
        <is>
          <t>Firmy budowlane</t>
        </is>
      </c>
      <c r="E621" t="inlineStr">
        <is>
          <t>TOP (zielony)</t>
        </is>
      </c>
      <c r="G621" t="inlineStr">
        <is>
          <t>+48 692 019 324</t>
        </is>
      </c>
      <c r="J621" t="inlineStr">
        <is>
          <t>Daniłowiczowska 18/lok 7A</t>
        </is>
      </c>
      <c r="L621" t="inlineStr">
        <is>
          <t>Wlasciciel / Fachowiec</t>
        </is>
      </c>
      <c r="M621" t="n">
        <v>59</v>
      </c>
      <c r="N621" t="n">
        <v>5</v>
      </c>
      <c r="O621" t="inlineStr">
        <is>
          <t>Google Maps</t>
        </is>
      </c>
      <c r="P621" t="inlineStr">
        <is>
          <t>Nowa</t>
        </is>
      </c>
      <c r="S621" t="inlineStr">
        <is>
          <t>[FACHOWIEC - nie klient] Ekipa budowlana. Google Maps: 5 gw. z 59 opinii.</t>
        </is>
      </c>
    </row>
    <row r="622">
      <c r="B622" s="34" t="n">
        <v>46135</v>
      </c>
      <c r="C622" t="inlineStr">
        <is>
          <t>Hydraulik Bemowo - naprawa spłuczki, wymiana kranu</t>
        </is>
      </c>
      <c r="D622" t="inlineStr">
        <is>
          <t>Firmy budowlane</t>
        </is>
      </c>
      <c r="E622" t="inlineStr">
        <is>
          <t>Niski (czerwony)</t>
        </is>
      </c>
      <c r="G622" t="inlineStr">
        <is>
          <t>+48 794 507 575</t>
        </is>
      </c>
      <c r="J622" t="inlineStr">
        <is>
          <t>Zamkniecie: 20:00 · +48 794 507 575</t>
        </is>
      </c>
      <c r="L622" t="inlineStr">
        <is>
          <t>Wlasciciel / Fachowiec</t>
        </is>
      </c>
      <c r="M622" t="n">
        <v>1</v>
      </c>
      <c r="N622" t="n">
        <v>5</v>
      </c>
      <c r="O622" t="inlineStr">
        <is>
          <t>Google Maps</t>
        </is>
      </c>
      <c r="P622" t="inlineStr">
        <is>
          <t>Nowa</t>
        </is>
      </c>
      <c r="S622" t="inlineStr">
        <is>
          <t>[FACHOWIEC - nie klient] Hydraulik. Google Maps: 5 gw. z 1 opinii.</t>
        </is>
      </c>
    </row>
    <row r="623">
      <c r="B623" s="34" t="n">
        <v>46135</v>
      </c>
      <c r="C623" t="inlineStr">
        <is>
          <t>AREMO👷🏻‍♂️ Naprawa Elewacji⚒️ Malowanie🫟 Mycie💦 Renowacja🏛️</t>
        </is>
      </c>
      <c r="D623" t="inlineStr">
        <is>
          <t>Firmy budowlane</t>
        </is>
      </c>
      <c r="E623" t="inlineStr">
        <is>
          <t>TOP (zielony)</t>
        </is>
      </c>
      <c r="G623" t="inlineStr">
        <is>
          <t>+48 512 474 522</t>
        </is>
      </c>
      <c r="J623" t="inlineStr">
        <is>
          <t>Mydlarska 33</t>
        </is>
      </c>
      <c r="L623" t="inlineStr">
        <is>
          <t>Wlasciciel / Fachowiec</t>
        </is>
      </c>
      <c r="M623" t="n">
        <v>37</v>
      </c>
      <c r="N623" t="n">
        <v>5</v>
      </c>
      <c r="O623" t="inlineStr">
        <is>
          <t>Google Maps</t>
        </is>
      </c>
      <c r="P623" t="inlineStr">
        <is>
          <t>Nowa</t>
        </is>
      </c>
      <c r="S623" t="inlineStr">
        <is>
          <t>[FACHOWIEC - nie klient] Malowanie elewacji. Google Maps: 5 gw. z 37 opinii.</t>
        </is>
      </c>
    </row>
    <row r="624">
      <c r="B624" s="34" t="n">
        <v>46135</v>
      </c>
      <c r="C624" t="inlineStr">
        <is>
          <t>PROMAL</t>
        </is>
      </c>
      <c r="D624" t="inlineStr">
        <is>
          <t>Firmy budowlane</t>
        </is>
      </c>
      <c r="E624" t="inlineStr">
        <is>
          <t>Sredni (zolty)</t>
        </is>
      </c>
      <c r="G624" t="inlineStr">
        <is>
          <t>+48 782 033 232</t>
        </is>
      </c>
      <c r="J624" t="inlineStr">
        <is>
          <t>Edwarda Warchałowskiego</t>
        </is>
      </c>
      <c r="L624" t="inlineStr">
        <is>
          <t>Wlasciciel / Fachowiec</t>
        </is>
      </c>
      <c r="M624" t="n">
        <v>18</v>
      </c>
      <c r="N624" t="n">
        <v>5</v>
      </c>
      <c r="O624" t="inlineStr">
        <is>
          <t>Google Maps</t>
        </is>
      </c>
      <c r="P624" t="inlineStr">
        <is>
          <t>Nowa</t>
        </is>
      </c>
      <c r="S624" t="inlineStr">
        <is>
          <t>[FACHOWIEC - nie klient] Malowanie elewacji. Google Maps: 5 gw. z 18 opinii.</t>
        </is>
      </c>
    </row>
    <row r="625">
      <c r="B625" s="34" t="n">
        <v>46135</v>
      </c>
      <c r="C625" t="inlineStr">
        <is>
          <t>ElevTech - Mycie i malowanie elewacji</t>
        </is>
      </c>
      <c r="D625" t="inlineStr">
        <is>
          <t>Firmy budowlane</t>
        </is>
      </c>
      <c r="E625" t="inlineStr">
        <is>
          <t>Sredni (zolty)</t>
        </is>
      </c>
      <c r="G625" t="inlineStr">
        <is>
          <t>+48 572 275 699</t>
        </is>
      </c>
      <c r="J625" t="inlineStr">
        <is>
          <t>08:00 · +48 572 275 699</t>
        </is>
      </c>
      <c r="L625" t="inlineStr">
        <is>
          <t>Wlasciciel / Fachowiec</t>
        </is>
      </c>
      <c r="M625" t="n">
        <v>10</v>
      </c>
      <c r="N625" t="n">
        <v>4.6</v>
      </c>
      <c r="O625" t="inlineStr">
        <is>
          <t>Google Maps</t>
        </is>
      </c>
      <c r="P625" t="inlineStr">
        <is>
          <t>Nowa</t>
        </is>
      </c>
      <c r="S625" t="inlineStr">
        <is>
          <t>[FACHOWIEC - nie klient] Malowanie elewacji. Google Maps: 4.6 gw. z 10 opinii.</t>
        </is>
      </c>
    </row>
    <row r="626">
      <c r="B626" s="34" t="n">
        <v>46135</v>
      </c>
      <c r="C626" t="inlineStr">
        <is>
          <t>Malowanie Elewacji, Odgrzybianie, Warszawa, Marki, Zabki, Anin</t>
        </is>
      </c>
      <c r="D626" t="inlineStr">
        <is>
          <t>Firmy budowlane</t>
        </is>
      </c>
      <c r="E626" t="inlineStr">
        <is>
          <t>Niski (czerwony)</t>
        </is>
      </c>
      <c r="G626" t="inlineStr">
        <is>
          <t>+48 730 764 371</t>
        </is>
      </c>
      <c r="J626" t="inlineStr">
        <is>
          <t>Milanowek 35</t>
        </is>
      </c>
      <c r="L626" t="inlineStr">
        <is>
          <t>Wlasciciel / Fachowiec</t>
        </is>
      </c>
      <c r="M626" t="n">
        <v>1</v>
      </c>
      <c r="N626" t="n">
        <v>5</v>
      </c>
      <c r="O626" t="inlineStr">
        <is>
          <t>Google Maps</t>
        </is>
      </c>
      <c r="P626" t="inlineStr">
        <is>
          <t>Nowa</t>
        </is>
      </c>
      <c r="S626" t="inlineStr">
        <is>
          <t>[FACHOWIEC - nie klient] Malowanie elewacji. Google Maps: 5 gw. z 1 opinii.</t>
        </is>
      </c>
    </row>
    <row r="627">
      <c r="B627" s="34" t="n">
        <v>46135</v>
      </c>
      <c r="C627" t="inlineStr">
        <is>
          <t>Clean House Dawid Zawislak</t>
        </is>
      </c>
      <c r="D627" t="inlineStr">
        <is>
          <t>Firmy budowlane</t>
        </is>
      </c>
      <c r="E627" t="inlineStr">
        <is>
          <t>TOP (zielony)</t>
        </is>
      </c>
      <c r="G627" t="inlineStr">
        <is>
          <t>+48 790 866 618</t>
        </is>
      </c>
      <c r="J627" t="inlineStr">
        <is>
          <t>Zygmuntow 66/2</t>
        </is>
      </c>
      <c r="L627" t="inlineStr">
        <is>
          <t>Wlasciciel / Fachowiec</t>
        </is>
      </c>
      <c r="M627" t="n">
        <v>51</v>
      </c>
      <c r="N627" t="n">
        <v>4.8</v>
      </c>
      <c r="O627" t="inlineStr">
        <is>
          <t>Google Maps</t>
        </is>
      </c>
      <c r="P627" t="inlineStr">
        <is>
          <t>Nowa</t>
        </is>
      </c>
      <c r="S627" t="inlineStr">
        <is>
          <t>[FACHOWIEC - nie klient] Malowanie elewacji. Google Maps: 4.8 gw. z 51 opinii.</t>
        </is>
      </c>
    </row>
  </sheetData>
  <autoFilter ref="A1:T1"/>
  <conditionalFormatting sqref="A2:T301">
    <cfRule type="expression" priority="1" dxfId="0">
      <formula>$E2="TOP (zielony)"</formula>
    </cfRule>
    <cfRule type="expression" priority="2" dxfId="1">
      <formula>$E2="Sredni (zolty)"</formula>
    </cfRule>
    <cfRule type="expression" priority="3" dxfId="2">
      <formula>$E2="Niski (czerwony)"</formula>
    </cfRule>
    <cfRule type="expression" priority="4" dxfId="3">
      <formula>$P2="Zarejestrowana"</formula>
    </cfRule>
    <cfRule type="expression" priority="5" dxfId="4">
      <formula>$P2="Odrzucona"</formula>
    </cfRule>
  </conditionalFormatting>
  <conditionalFormatting sqref="R2:R301">
    <cfRule type="expression" priority="6" dxfId="5">
      <formula>AND($R2&lt;&gt;"",$R2&lt;TODAY(),$P2&lt;&gt;"Zarejestrowana",$P2&lt;&gt;"Odrzucona")</formula>
    </cfRule>
  </conditionalFormatting>
  <dataValidations count="5">
    <dataValidation sqref="D2:D301" showDropDown="0" showInputMessage="0" showErrorMessage="0" allowBlank="1" type="list">
      <formula1>"Zarzadcy nieruchomosci,Firmy budowlane,Agencje nieruchomosci,HR / Duzi pracodawcy"</formula1>
    </dataValidation>
    <dataValidation sqref="E2:E301" showDropDown="0" showInputMessage="0" showErrorMessage="0" allowBlank="1" type="list">
      <formula1>"TOP (zielony),Sredni (zolty),Niski (czerwony)"</formula1>
    </dataValidation>
    <dataValidation sqref="F2:F301" showDropDown="0" showInputMessage="0" showErrorMessage="0" allowBlank="1" type="list">
      <formula1>"Bemowo,Bialoleka,Bielany,Mokotow,Ochota,Praga-Poludnie,Praga-Polnoc,Rembertow,Srodmiescie,Targowek,Ursus,Ursynow,Wawer,Wesola,Wilanow,Wlochy,Wola,Zoliborz"</formula1>
    </dataValidation>
    <dataValidation sqref="O2:O301" showDropDown="0" showInputMessage="0" showErrorMessage="0" allowBlank="1" type="list">
      <formula1>"Google Maps,CEIDG,KRS,Panorama Firm,LinkedIn,Polecenie,Inne"</formula1>
    </dataValidation>
    <dataValidation sqref="P2:P301" showDropDown="0" showInputMessage="0" showErrorMessage="0" allowBlank="1" type="list">
      <formula1>"Nowa,Zadzwoniono - brak odbioru,Zadzwoniono - rozmowa,W kontakcie,Zarejestrowana,Odrzucona,Callback"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0" customWidth="1" min="4" max="4"/>
    <col width="50" customWidth="1" min="5" max="5"/>
  </cols>
  <sheetData>
    <row r="2">
      <c r="B2" s="14" t="inlineStr">
        <is>
          <t>4 segmenty B2B - ktorego dnia, do kogo, po co</t>
        </is>
      </c>
    </row>
    <row r="4">
      <c r="B4" s="8" t="inlineStr">
        <is>
          <t>Segment</t>
        </is>
      </c>
      <c r="C4" s="8" t="inlineStr">
        <is>
          <t>Priorytet</t>
        </is>
      </c>
      <c r="D4" s="8" t="inlineStr">
        <is>
          <t>Dlaczego ten segment</t>
        </is>
      </c>
      <c r="E4" s="8" t="inlineStr">
        <is>
          <t>Kogo prosisz na linii</t>
        </is>
      </c>
    </row>
    <row r="5" ht="85" customHeight="1">
      <c r="B5" s="15" t="inlineStr">
        <is>
          <t>Zarzadcy nieruchomosci</t>
        </is>
      </c>
      <c r="C5" s="16" t="inlineStr">
        <is>
          <t>5 gwiazdek</t>
        </is>
      </c>
      <c r="D5" s="11" t="inlineStr">
        <is>
          <t>Ciagly bol (awarie w budynkach). Sami podejmuja decyzje. Malo technofobiczni (uzywaja juz ERP/CRM). Najwiekszy ROI z telefonu.</t>
        </is>
      </c>
      <c r="E5" s="11" t="inlineStr">
        <is>
          <t>Zarzadca ds. technicznych | Inspektor nadzoru | Konserwator | Prezes (male wspolnoty)</t>
        </is>
      </c>
    </row>
    <row r="6" ht="85" customHeight="1">
      <c r="B6" s="15" t="inlineStr">
        <is>
          <t>Firmy budowlane / deweloperzy</t>
        </is>
      </c>
      <c r="C6" s="16" t="inlineStr">
        <is>
          <t>4 gwiazdki</t>
        </is>
      </c>
      <c r="D6" s="11" t="inlineStr">
        <is>
          <t>Kara umowna za opoznienie = ogromny bol. Stale szukaja podwykonawcow. Ale gatekeeperzy twardsi - trzeba sie przebic przez sekretariat.</t>
        </is>
      </c>
      <c r="E6" s="11" t="inlineStr">
        <is>
          <t>Kierownik budowy | Specjalista ds. zaopatrzenia | Dyrektor operacyjny | Wlasciciel (firmy do 10 osob)</t>
        </is>
      </c>
    </row>
    <row r="7" ht="85" customHeight="1">
      <c r="B7" s="15" t="inlineStr">
        <is>
          <t>Agencje nieruchomosci</t>
        </is>
      </c>
      <c r="C7" s="16" t="inlineStr">
        <is>
          <t>3 gwiazdki</t>
        </is>
      </c>
      <c r="D7" s="11" t="inlineStr">
        <is>
          <t>Cykliczny bol (przed kazda sprzedaza cos trzeba naprawic). Nizsza pilnosc - poczekaja az cie sprawdza. Dobry segment na srodku tygodnia.</t>
        </is>
      </c>
      <c r="E7" s="11" t="inlineStr">
        <is>
          <t>Agent nieruchomosci (zwykle decyduje sam) | Manager biura | Dyrektor obslugi klienta</t>
        </is>
      </c>
    </row>
    <row r="8" ht="85" customHeight="1">
      <c r="B8" s="15" t="inlineStr">
        <is>
          <t>HR / Duzi pracodawcy</t>
        </is>
      </c>
      <c r="C8" s="16" t="inlineStr">
        <is>
          <t>3 gwiazdki</t>
        </is>
      </c>
      <c r="D8" s="11" t="inlineStr">
        <is>
          <t>Fabryki, hotele, logistyka. Szukaja fachowcow stale. Ale cykl decyzyjny dlugi - dzialasz na dluzsza mete. Wysoka wartosc pojedynczego leadu.</t>
        </is>
      </c>
      <c r="E8" s="11" t="inlineStr">
        <is>
          <t>Specjalista HR (rekrutacja techniczna) | Kierownik utrzymania ruchu | Dyrektor techniczny | Recruitment Business Partner</t>
        </is>
      </c>
    </row>
    <row r="11">
      <c r="B11" s="3" t="inlineStr">
        <is>
          <t>Kiedy dzwonic (per segment)</t>
        </is>
      </c>
    </row>
    <row r="12">
      <c r="B12" s="8" t="inlineStr">
        <is>
          <t>Dzien</t>
        </is>
      </c>
      <c r="C12" s="8" t="inlineStr">
        <is>
          <t>Godzina</t>
        </is>
      </c>
      <c r="D12" s="8" t="inlineStr">
        <is>
          <t>Segment</t>
        </is>
      </c>
      <c r="E12" s="8" t="inlineStr">
        <is>
          <t>Uwaga</t>
        </is>
      </c>
    </row>
    <row r="13" ht="28" customHeight="1">
      <c r="B13" s="11" t="inlineStr">
        <is>
          <t>Poniedzialek</t>
        </is>
      </c>
      <c r="C13" s="11" t="inlineStr">
        <is>
          <t>9:00 - 10:30</t>
        </is>
      </c>
      <c r="D13" s="11" t="inlineStr">
        <is>
          <t>Zarzadcy nieruchomosci</t>
        </is>
      </c>
      <c r="E13" s="11" t="inlineStr">
        <is>
          <t>Po weekendzie maja swieza liste awarii</t>
        </is>
      </c>
    </row>
    <row r="14" ht="28" customHeight="1">
      <c r="B14" s="11" t="inlineStr">
        <is>
          <t>Poniedzialek</t>
        </is>
      </c>
      <c r="C14" s="11" t="inlineStr">
        <is>
          <t>14:00 - 16:00</t>
        </is>
      </c>
      <c r="D14" s="11" t="inlineStr">
        <is>
          <t>Agencje nieruchomosci</t>
        </is>
      </c>
      <c r="E14" s="11" t="inlineStr">
        <is>
          <t>Klienci dzwonia rano - agent odbierze po obiedzie</t>
        </is>
      </c>
    </row>
    <row r="15" ht="28" customHeight="1">
      <c r="B15" s="11" t="inlineStr">
        <is>
          <t>Wt / Sr / Czw</t>
        </is>
      </c>
      <c r="C15" s="11" t="inlineStr">
        <is>
          <t>10:00 - 11:30</t>
        </is>
      </c>
      <c r="D15" s="11" t="inlineStr">
        <is>
          <t>Firmy budowlane</t>
        </is>
      </c>
      <c r="E15" s="11" t="inlineStr">
        <is>
          <t>Kierownik budowy jest w biurze miedzy 10-12</t>
        </is>
      </c>
    </row>
    <row r="16" ht="28" customHeight="1">
      <c r="B16" s="11" t="inlineStr">
        <is>
          <t>Wt / Sr / Czw</t>
        </is>
      </c>
      <c r="C16" s="11" t="inlineStr">
        <is>
          <t>13:00 - 15:00</t>
        </is>
      </c>
      <c r="D16" s="11" t="inlineStr">
        <is>
          <t>HR / Duzi pracodawcy</t>
        </is>
      </c>
      <c r="E16" s="11" t="inlineStr">
        <is>
          <t>Po obiedzie, przed koncem dnia rekrutera</t>
        </is>
      </c>
    </row>
    <row r="17" ht="28" customHeight="1">
      <c r="B17" s="11" t="inlineStr">
        <is>
          <t>Piatek</t>
        </is>
      </c>
      <c r="C17" s="11" t="inlineStr">
        <is>
          <t>13:00 - 15:00</t>
        </is>
      </c>
      <c r="D17" s="11" t="inlineStr">
        <is>
          <t>Follow-upy + callbacki</t>
        </is>
      </c>
      <c r="E17" s="11" t="inlineStr">
        <is>
          <t>Nie nowe firmy w piatek po 15:00 (weekend w glowie)</t>
        </is>
      </c>
    </row>
    <row r="19">
      <c r="B19" s="17" t="inlineStr">
        <is>
          <t>NIE dzwonimy: Pon 8:00-9:00 (odprawa) | Pt po 16:00 (weekend) | Wt 11:45 (glodni) | swieta +/- 1 dzien</t>
        </is>
      </c>
    </row>
  </sheetData>
  <mergeCells count="2">
    <mergeCell ref="B11:E11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2">
      <c r="B2" s="18" t="inlineStr">
        <is>
          <t>72 gotowe zapytania Google Maps - Warszawa (18 dzielnic x 4 segmenty)</t>
        </is>
      </c>
    </row>
    <row r="3">
      <c r="B3" s="2" t="inlineStr">
        <is>
          <t>Kliknij w link - Google Maps otworzy wyszukiwanie - skopiuj firme do arkusza [Lista firm].</t>
        </is>
      </c>
    </row>
    <row r="5" ht="34" customHeight="1">
      <c r="B5" s="8" t="inlineStr">
        <is>
          <t>Dzielnica</t>
        </is>
      </c>
      <c r="C5" s="8" t="inlineStr">
        <is>
          <t>Zarzadcy nieruchomosci</t>
        </is>
      </c>
      <c r="D5" s="8" t="inlineStr">
        <is>
          <t>Firmy budowlane</t>
        </is>
      </c>
      <c r="E5" s="8" t="inlineStr">
        <is>
          <t>Agencje nieruchomosci</t>
        </is>
      </c>
      <c r="F5" s="8" t="inlineStr">
        <is>
          <t>HR / Duzi pracodawcy</t>
        </is>
      </c>
    </row>
    <row r="6" ht="30" customHeight="1">
      <c r="B6" s="19" t="inlineStr">
        <is>
          <t>Bemowo</t>
        </is>
      </c>
      <c r="C6" s="20">
        <f>HYPERLINK("https://www.google.com/maps/search/zarzadca+nieruchomosci+Bemowo+Warszawa","SZUKAJ: zarzadca nieruchomosci Bemowo Warszawa")</f>
        <v/>
      </c>
      <c r="D6" s="20">
        <f>HYPERLINK("https://www.google.com/maps/search/firma+remontowa+Bemowo+Warszawa","SZUKAJ: firma remontowa Bemowo Warszawa")</f>
        <v/>
      </c>
      <c r="E6" s="20">
        <f>HYPERLINK("https://www.google.com/maps/search/biuro+nieruchomosci+Bemowo+Warszawa","SZUKAJ: biuro nieruchomosci Bemowo Warszawa")</f>
        <v/>
      </c>
      <c r="F6" s="20">
        <f>HYPERLINK("https://www.google.com/maps/search/fabryka+Bemowo+Warszawa","SZUKAJ: fabryka Bemowo Warszawa")</f>
        <v/>
      </c>
    </row>
    <row r="7" ht="30" customHeight="1">
      <c r="B7" s="19" t="inlineStr">
        <is>
          <t>Bialoleka</t>
        </is>
      </c>
      <c r="C7" s="20">
        <f>HYPERLINK("https://www.google.com/maps/search/zarzadca+nieruchomosci+Bialoleka+Warszawa","SZUKAJ: zarzadca nieruchomosci Bialoleka Warszawa")</f>
        <v/>
      </c>
      <c r="D7" s="20">
        <f>HYPERLINK("https://www.google.com/maps/search/firma+remontowa+Bialoleka+Warszawa","SZUKAJ: firma remontowa Bialoleka Warszawa")</f>
        <v/>
      </c>
      <c r="E7" s="20">
        <f>HYPERLINK("https://www.google.com/maps/search/biuro+nieruchomosci+Bialoleka+Warszawa","SZUKAJ: biuro nieruchomosci Bialoleka Warszawa")</f>
        <v/>
      </c>
      <c r="F7" s="20">
        <f>HYPERLINK("https://www.google.com/maps/search/fabryka+Bialoleka+Warszawa","SZUKAJ: fabryka Bialoleka Warszawa")</f>
        <v/>
      </c>
    </row>
    <row r="8" ht="30" customHeight="1">
      <c r="B8" s="19" t="inlineStr">
        <is>
          <t>Bielany</t>
        </is>
      </c>
      <c r="C8" s="20">
        <f>HYPERLINK("https://www.google.com/maps/search/zarzadca+nieruchomosci+Bielany+Warszawa","SZUKAJ: zarzadca nieruchomosci Bielany Warszawa")</f>
        <v/>
      </c>
      <c r="D8" s="20">
        <f>HYPERLINK("https://www.google.com/maps/search/firma+remontowa+Bielany+Warszawa","SZUKAJ: firma remontowa Bielany Warszawa")</f>
        <v/>
      </c>
      <c r="E8" s="20">
        <f>HYPERLINK("https://www.google.com/maps/search/biuro+nieruchomosci+Bielany+Warszawa","SZUKAJ: biuro nieruchomosci Bielany Warszawa")</f>
        <v/>
      </c>
      <c r="F8" s="20">
        <f>HYPERLINK("https://www.google.com/maps/search/fabryka+Bielany+Warszawa","SZUKAJ: fabryka Bielany Warszawa")</f>
        <v/>
      </c>
    </row>
    <row r="9" ht="30" customHeight="1">
      <c r="B9" s="19" t="inlineStr">
        <is>
          <t>Mokotow</t>
        </is>
      </c>
      <c r="C9" s="20">
        <f>HYPERLINK("https://www.google.com/maps/search/zarzadca+nieruchomosci+Mokotow+Warszawa","SZUKAJ: zarzadca nieruchomosci Mokotow Warszawa")</f>
        <v/>
      </c>
      <c r="D9" s="20">
        <f>HYPERLINK("https://www.google.com/maps/search/firma+remontowa+Mokotow+Warszawa","SZUKAJ: firma remontowa Mokotow Warszawa")</f>
        <v/>
      </c>
      <c r="E9" s="20">
        <f>HYPERLINK("https://www.google.com/maps/search/biuro+nieruchomosci+Mokotow+Warszawa","SZUKAJ: biuro nieruchomosci Mokotow Warszawa")</f>
        <v/>
      </c>
      <c r="F9" s="20">
        <f>HYPERLINK("https://www.google.com/maps/search/fabryka+Mokotow+Warszawa","SZUKAJ: fabryka Mokotow Warszawa")</f>
        <v/>
      </c>
    </row>
    <row r="10" ht="30" customHeight="1">
      <c r="B10" s="19" t="inlineStr">
        <is>
          <t>Ochota</t>
        </is>
      </c>
      <c r="C10" s="20">
        <f>HYPERLINK("https://www.google.com/maps/search/zarzadca+nieruchomosci+Ochota+Warszawa","SZUKAJ: zarzadca nieruchomosci Ochota Warszawa")</f>
        <v/>
      </c>
      <c r="D10" s="20">
        <f>HYPERLINK("https://www.google.com/maps/search/firma+remontowa+Ochota+Warszawa","SZUKAJ: firma remontowa Ochota Warszawa")</f>
        <v/>
      </c>
      <c r="E10" s="20">
        <f>HYPERLINK("https://www.google.com/maps/search/biuro+nieruchomosci+Ochota+Warszawa","SZUKAJ: biuro nieruchomosci Ochota Warszawa")</f>
        <v/>
      </c>
      <c r="F10" s="20">
        <f>HYPERLINK("https://www.google.com/maps/search/fabryka+Ochota+Warszawa","SZUKAJ: fabryka Ochota Warszawa")</f>
        <v/>
      </c>
    </row>
    <row r="11" ht="30" customHeight="1">
      <c r="B11" s="19" t="inlineStr">
        <is>
          <t>Praga-Poludnie</t>
        </is>
      </c>
      <c r="C11" s="20">
        <f>HYPERLINK("https://www.google.com/maps/search/zarzadca+nieruchomosci+Praga-Poludnie+Warszawa","SZUKAJ: zarzadca nieruchomosci Praga-Poludnie Warszawa")</f>
        <v/>
      </c>
      <c r="D11" s="20">
        <f>HYPERLINK("https://www.google.com/maps/search/firma+remontowa+Praga-Poludnie+Warszawa","SZUKAJ: firma remontowa Praga-Poludnie Warszawa")</f>
        <v/>
      </c>
      <c r="E11" s="20">
        <f>HYPERLINK("https://www.google.com/maps/search/biuro+nieruchomosci+Praga-Poludnie+Warszawa","SZUKAJ: biuro nieruchomosci Praga-Poludnie Warszawa")</f>
        <v/>
      </c>
      <c r="F11" s="20">
        <f>HYPERLINK("https://www.google.com/maps/search/fabryka+Praga-Poludnie+Warszawa","SZUKAJ: fabryka Praga-Poludnie Warszawa")</f>
        <v/>
      </c>
    </row>
    <row r="12" ht="30" customHeight="1">
      <c r="B12" s="19" t="inlineStr">
        <is>
          <t>Praga-Polnoc</t>
        </is>
      </c>
      <c r="C12" s="20">
        <f>HYPERLINK("https://www.google.com/maps/search/zarzadca+nieruchomosci+Praga-Polnoc+Warszawa","SZUKAJ: zarzadca nieruchomosci Praga-Polnoc Warszawa")</f>
        <v/>
      </c>
      <c r="D12" s="20">
        <f>HYPERLINK("https://www.google.com/maps/search/firma+remontowa+Praga-Polnoc+Warszawa","SZUKAJ: firma remontowa Praga-Polnoc Warszawa")</f>
        <v/>
      </c>
      <c r="E12" s="20">
        <f>HYPERLINK("https://www.google.com/maps/search/biuro+nieruchomosci+Praga-Polnoc+Warszawa","SZUKAJ: biuro nieruchomosci Praga-Polnoc Warszawa")</f>
        <v/>
      </c>
      <c r="F12" s="20">
        <f>HYPERLINK("https://www.google.com/maps/search/fabryka+Praga-Polnoc+Warszawa","SZUKAJ: fabryka Praga-Polnoc Warszawa")</f>
        <v/>
      </c>
    </row>
    <row r="13" ht="30" customHeight="1">
      <c r="B13" s="19" t="inlineStr">
        <is>
          <t>Rembertow</t>
        </is>
      </c>
      <c r="C13" s="20">
        <f>HYPERLINK("https://www.google.com/maps/search/zarzadca+nieruchomosci+Rembertow+Warszawa","SZUKAJ: zarzadca nieruchomosci Rembertow Warszawa")</f>
        <v/>
      </c>
      <c r="D13" s="20">
        <f>HYPERLINK("https://www.google.com/maps/search/firma+remontowa+Rembertow+Warszawa","SZUKAJ: firma remontowa Rembertow Warszawa")</f>
        <v/>
      </c>
      <c r="E13" s="20">
        <f>HYPERLINK("https://www.google.com/maps/search/biuro+nieruchomosci+Rembertow+Warszawa","SZUKAJ: biuro nieruchomosci Rembertow Warszawa")</f>
        <v/>
      </c>
      <c r="F13" s="20">
        <f>HYPERLINK("https://www.google.com/maps/search/fabryka+Rembertow+Warszawa","SZUKAJ: fabryka Rembertow Warszawa")</f>
        <v/>
      </c>
    </row>
    <row r="14" ht="30" customHeight="1">
      <c r="B14" s="19" t="inlineStr">
        <is>
          <t>Srodmiescie</t>
        </is>
      </c>
      <c r="C14" s="20">
        <f>HYPERLINK("https://www.google.com/maps/search/zarzadca+nieruchomosci+Srodmiescie+Warszawa","SZUKAJ: zarzadca nieruchomosci Srodmiescie Warszawa")</f>
        <v/>
      </c>
      <c r="D14" s="20">
        <f>HYPERLINK("https://www.google.com/maps/search/firma+remontowa+Srodmiescie+Warszawa","SZUKAJ: firma remontowa Srodmiescie Warszawa")</f>
        <v/>
      </c>
      <c r="E14" s="20">
        <f>HYPERLINK("https://www.google.com/maps/search/biuro+nieruchomosci+Srodmiescie+Warszawa","SZUKAJ: biuro nieruchomosci Srodmiescie Warszawa")</f>
        <v/>
      </c>
      <c r="F14" s="20">
        <f>HYPERLINK("https://www.google.com/maps/search/fabryka+Srodmiescie+Warszawa","SZUKAJ: fabryka Srodmiescie Warszawa")</f>
        <v/>
      </c>
    </row>
    <row r="15" ht="30" customHeight="1">
      <c r="B15" s="19" t="inlineStr">
        <is>
          <t>Targowek</t>
        </is>
      </c>
      <c r="C15" s="20">
        <f>HYPERLINK("https://www.google.com/maps/search/zarzadca+nieruchomosci+Targowek+Warszawa","SZUKAJ: zarzadca nieruchomosci Targowek Warszawa")</f>
        <v/>
      </c>
      <c r="D15" s="20">
        <f>HYPERLINK("https://www.google.com/maps/search/firma+remontowa+Targowek+Warszawa","SZUKAJ: firma remontowa Targowek Warszawa")</f>
        <v/>
      </c>
      <c r="E15" s="20">
        <f>HYPERLINK("https://www.google.com/maps/search/biuro+nieruchomosci+Targowek+Warszawa","SZUKAJ: biuro nieruchomosci Targowek Warszawa")</f>
        <v/>
      </c>
      <c r="F15" s="20">
        <f>HYPERLINK("https://www.google.com/maps/search/fabryka+Targowek+Warszawa","SZUKAJ: fabryka Targowek Warszawa")</f>
        <v/>
      </c>
    </row>
    <row r="16" ht="30" customHeight="1">
      <c r="B16" s="19" t="inlineStr">
        <is>
          <t>Ursus</t>
        </is>
      </c>
      <c r="C16" s="20">
        <f>HYPERLINK("https://www.google.com/maps/search/zarzadca+nieruchomosci+Ursus+Warszawa","SZUKAJ: zarzadca nieruchomosci Ursus Warszawa")</f>
        <v/>
      </c>
      <c r="D16" s="20">
        <f>HYPERLINK("https://www.google.com/maps/search/firma+remontowa+Ursus+Warszawa","SZUKAJ: firma remontowa Ursus Warszawa")</f>
        <v/>
      </c>
      <c r="E16" s="20">
        <f>HYPERLINK("https://www.google.com/maps/search/biuro+nieruchomosci+Ursus+Warszawa","SZUKAJ: biuro nieruchomosci Ursus Warszawa")</f>
        <v/>
      </c>
      <c r="F16" s="20">
        <f>HYPERLINK("https://www.google.com/maps/search/fabryka+Ursus+Warszawa","SZUKAJ: fabryka Ursus Warszawa")</f>
        <v/>
      </c>
    </row>
    <row r="17" ht="30" customHeight="1">
      <c r="B17" s="19" t="inlineStr">
        <is>
          <t>Ursynow</t>
        </is>
      </c>
      <c r="C17" s="20">
        <f>HYPERLINK("https://www.google.com/maps/search/zarzadca+nieruchomosci+Ursynow+Warszawa","SZUKAJ: zarzadca nieruchomosci Ursynow Warszawa")</f>
        <v/>
      </c>
      <c r="D17" s="20">
        <f>HYPERLINK("https://www.google.com/maps/search/firma+remontowa+Ursynow+Warszawa","SZUKAJ: firma remontowa Ursynow Warszawa")</f>
        <v/>
      </c>
      <c r="E17" s="20">
        <f>HYPERLINK("https://www.google.com/maps/search/biuro+nieruchomosci+Ursynow+Warszawa","SZUKAJ: biuro nieruchomosci Ursynow Warszawa")</f>
        <v/>
      </c>
      <c r="F17" s="20">
        <f>HYPERLINK("https://www.google.com/maps/search/fabryka+Ursynow+Warszawa","SZUKAJ: fabryka Ursynow Warszawa")</f>
        <v/>
      </c>
    </row>
    <row r="18" ht="30" customHeight="1">
      <c r="B18" s="19" t="inlineStr">
        <is>
          <t>Wawer</t>
        </is>
      </c>
      <c r="C18" s="20">
        <f>HYPERLINK("https://www.google.com/maps/search/zarzadca+nieruchomosci+Wawer+Warszawa","SZUKAJ: zarzadca nieruchomosci Wawer Warszawa")</f>
        <v/>
      </c>
      <c r="D18" s="20">
        <f>HYPERLINK("https://www.google.com/maps/search/firma+remontowa+Wawer+Warszawa","SZUKAJ: firma remontowa Wawer Warszawa")</f>
        <v/>
      </c>
      <c r="E18" s="20">
        <f>HYPERLINK("https://www.google.com/maps/search/biuro+nieruchomosci+Wawer+Warszawa","SZUKAJ: biuro nieruchomosci Wawer Warszawa")</f>
        <v/>
      </c>
      <c r="F18" s="20">
        <f>HYPERLINK("https://www.google.com/maps/search/fabryka+Wawer+Warszawa","SZUKAJ: fabryka Wawer Warszawa")</f>
        <v/>
      </c>
    </row>
    <row r="19" ht="30" customHeight="1">
      <c r="B19" s="19" t="inlineStr">
        <is>
          <t>Wesola</t>
        </is>
      </c>
      <c r="C19" s="20">
        <f>HYPERLINK("https://www.google.com/maps/search/zarzadca+nieruchomosci+Wesola+Warszawa","SZUKAJ: zarzadca nieruchomosci Wesola Warszawa")</f>
        <v/>
      </c>
      <c r="D19" s="20">
        <f>HYPERLINK("https://www.google.com/maps/search/firma+remontowa+Wesola+Warszawa","SZUKAJ: firma remontowa Wesola Warszawa")</f>
        <v/>
      </c>
      <c r="E19" s="20">
        <f>HYPERLINK("https://www.google.com/maps/search/biuro+nieruchomosci+Wesola+Warszawa","SZUKAJ: biuro nieruchomosci Wesola Warszawa")</f>
        <v/>
      </c>
      <c r="F19" s="20">
        <f>HYPERLINK("https://www.google.com/maps/search/fabryka+Wesola+Warszawa","SZUKAJ: fabryka Wesola Warszawa")</f>
        <v/>
      </c>
    </row>
    <row r="20" ht="30" customHeight="1">
      <c r="B20" s="19" t="inlineStr">
        <is>
          <t>Wilanow</t>
        </is>
      </c>
      <c r="C20" s="20">
        <f>HYPERLINK("https://www.google.com/maps/search/zarzadca+nieruchomosci+Wilanow+Warszawa","SZUKAJ: zarzadca nieruchomosci Wilanow Warszawa")</f>
        <v/>
      </c>
      <c r="D20" s="20">
        <f>HYPERLINK("https://www.google.com/maps/search/firma+remontowa+Wilanow+Warszawa","SZUKAJ: firma remontowa Wilanow Warszawa")</f>
        <v/>
      </c>
      <c r="E20" s="20">
        <f>HYPERLINK("https://www.google.com/maps/search/biuro+nieruchomosci+Wilanow+Warszawa","SZUKAJ: biuro nieruchomosci Wilanow Warszawa")</f>
        <v/>
      </c>
      <c r="F20" s="20">
        <f>HYPERLINK("https://www.google.com/maps/search/fabryka+Wilanow+Warszawa","SZUKAJ: fabryka Wilanow Warszawa")</f>
        <v/>
      </c>
    </row>
    <row r="21" ht="30" customHeight="1">
      <c r="B21" s="19" t="inlineStr">
        <is>
          <t>Wlochy</t>
        </is>
      </c>
      <c r="C21" s="20">
        <f>HYPERLINK("https://www.google.com/maps/search/zarzadca+nieruchomosci+Wlochy+Warszawa","SZUKAJ: zarzadca nieruchomosci Wlochy Warszawa")</f>
        <v/>
      </c>
      <c r="D21" s="20">
        <f>HYPERLINK("https://www.google.com/maps/search/firma+remontowa+Wlochy+Warszawa","SZUKAJ: firma remontowa Wlochy Warszawa")</f>
        <v/>
      </c>
      <c r="E21" s="20">
        <f>HYPERLINK("https://www.google.com/maps/search/biuro+nieruchomosci+Wlochy+Warszawa","SZUKAJ: biuro nieruchomosci Wlochy Warszawa")</f>
        <v/>
      </c>
      <c r="F21" s="20">
        <f>HYPERLINK("https://www.google.com/maps/search/fabryka+Wlochy+Warszawa","SZUKAJ: fabryka Wlochy Warszawa")</f>
        <v/>
      </c>
    </row>
    <row r="22" ht="30" customHeight="1">
      <c r="B22" s="19" t="inlineStr">
        <is>
          <t>Wola</t>
        </is>
      </c>
      <c r="C22" s="20">
        <f>HYPERLINK("https://www.google.com/maps/search/zarzadca+nieruchomosci+Wola+Warszawa","SZUKAJ: zarzadca nieruchomosci Wola Warszawa")</f>
        <v/>
      </c>
      <c r="D22" s="20">
        <f>HYPERLINK("https://www.google.com/maps/search/firma+remontowa+Wola+Warszawa","SZUKAJ: firma remontowa Wola Warszawa")</f>
        <v/>
      </c>
      <c r="E22" s="20">
        <f>HYPERLINK("https://www.google.com/maps/search/biuro+nieruchomosci+Wola+Warszawa","SZUKAJ: biuro nieruchomosci Wola Warszawa")</f>
        <v/>
      </c>
      <c r="F22" s="20">
        <f>HYPERLINK("https://www.google.com/maps/search/fabryka+Wola+Warszawa","SZUKAJ: fabryka Wola Warszawa")</f>
        <v/>
      </c>
    </row>
    <row r="23" ht="30" customHeight="1">
      <c r="B23" s="19" t="inlineStr">
        <is>
          <t>Zoliborz</t>
        </is>
      </c>
      <c r="C23" s="20">
        <f>HYPERLINK("https://www.google.com/maps/search/zarzadca+nieruchomosci+Zoliborz+Warszawa","SZUKAJ: zarzadca nieruchomosci Zoliborz Warszawa")</f>
        <v/>
      </c>
      <c r="D23" s="20">
        <f>HYPERLINK("https://www.google.com/maps/search/firma+remontowa+Zoliborz+Warszawa","SZUKAJ: firma remontowa Zoliborz Warszawa")</f>
        <v/>
      </c>
      <c r="E23" s="20">
        <f>HYPERLINK("https://www.google.com/maps/search/biuro+nieruchomosci+Zoliborz+Warszawa","SZUKAJ: biuro nieruchomosci Zoliborz Warszawa")</f>
        <v/>
      </c>
      <c r="F23" s="20">
        <f>HYPERLINK("https://www.google.com/maps/search/fabryka+Zoliborz+Warszawa","SZUKAJ: fabryka Zoliborz Warszawa")</f>
        <v/>
      </c>
    </row>
    <row r="26">
      <c r="B26" s="3" t="inlineStr">
        <is>
          <t>Alternatywne zapytania (klikalne) - gdy pierwsza tura da malo wynikow</t>
        </is>
      </c>
    </row>
    <row r="27">
      <c r="B27" s="8" t="inlineStr">
        <is>
          <t>Segment</t>
        </is>
      </c>
      <c r="C27" s="8" t="inlineStr">
        <is>
          <t>Dzielnica</t>
        </is>
      </c>
      <c r="D27" s="8" t="inlineStr">
        <is>
          <t>Alternatywa 2 / 3</t>
        </is>
      </c>
      <c r="E27" s="21" t="n"/>
      <c r="F27" s="22" t="n"/>
    </row>
    <row r="28">
      <c r="B28" s="23" t="inlineStr">
        <is>
          <t>Zarzadcy nieruchomosci</t>
        </is>
      </c>
      <c r="C28" s="23" t="inlineStr">
        <is>
          <t>Bemowo</t>
        </is>
      </c>
      <c r="D28" s="20">
        <f>HYPERLINK("https://www.google.com/maps/search/spoldzielnia+mieszkaniowa+Bemowo+Warszawa","SZUKAJ: spoldzielnia mieszkaniowa Bemowo Warszawa")</f>
        <v/>
      </c>
      <c r="E28" s="21" t="n"/>
      <c r="F28" s="22" t="n"/>
    </row>
    <row r="29">
      <c r="B29" s="23" t="inlineStr">
        <is>
          <t>Zarzadcy nieruchomosci</t>
        </is>
      </c>
      <c r="C29" s="23" t="inlineStr">
        <is>
          <t>Bemowo</t>
        </is>
      </c>
      <c r="D29" s="20">
        <f>HYPERLINK("https://www.google.com/maps/search/wspolnota+mieszkaniowa+Bemowo+Warszawa","SZUKAJ: wspolnota mieszkaniowa Bemowo Warszawa")</f>
        <v/>
      </c>
      <c r="E29" s="21" t="n"/>
      <c r="F29" s="22" t="n"/>
    </row>
    <row r="30">
      <c r="B30" s="23" t="inlineStr">
        <is>
          <t>Firmy budowlane</t>
        </is>
      </c>
      <c r="C30" s="23" t="inlineStr">
        <is>
          <t>Bemowo</t>
        </is>
      </c>
      <c r="D30" s="20">
        <f>HYPERLINK("https://www.google.com/maps/search/deweloper+Bemowo+Warszawa","SZUKAJ: deweloper Bemowo Warszawa")</f>
        <v/>
      </c>
      <c r="E30" s="21" t="n"/>
      <c r="F30" s="22" t="n"/>
    </row>
    <row r="31">
      <c r="B31" s="23" t="inlineStr">
        <is>
          <t>Firmy budowlane</t>
        </is>
      </c>
      <c r="C31" s="23" t="inlineStr">
        <is>
          <t>Bemowo</t>
        </is>
      </c>
      <c r="D31" s="20">
        <f>HYPERLINK("https://www.google.com/maps/search/generalny+wykonawca+Bemowo+Warszawa","SZUKAJ: generalny wykonawca Bemowo Warszawa")</f>
        <v/>
      </c>
      <c r="E31" s="21" t="n"/>
      <c r="F31" s="22" t="n"/>
    </row>
    <row r="32">
      <c r="B32" s="23" t="inlineStr">
        <is>
          <t>Agencje nieruchomosci</t>
        </is>
      </c>
      <c r="C32" s="23" t="inlineStr">
        <is>
          <t>Bemowo</t>
        </is>
      </c>
      <c r="D32" s="20">
        <f>HYPERLINK("https://www.google.com/maps/search/agencja+nieruchomosci+Bemowo+Warszawa","SZUKAJ: agencja nieruchomosci Bemowo Warszawa")</f>
        <v/>
      </c>
      <c r="E32" s="21" t="n"/>
      <c r="F32" s="22" t="n"/>
    </row>
    <row r="33">
      <c r="B33" s="23" t="inlineStr">
        <is>
          <t>HR / Duzi pracodawcy</t>
        </is>
      </c>
      <c r="C33" s="23" t="inlineStr">
        <is>
          <t>Bemowo</t>
        </is>
      </c>
      <c r="D33" s="20">
        <f>HYPERLINK("https://www.google.com/maps/search/centrum+logistyczne+Bemowo+Warszawa","SZUKAJ: centrum logistyczne Bemowo Warszawa")</f>
        <v/>
      </c>
      <c r="E33" s="21" t="n"/>
      <c r="F33" s="22" t="n"/>
    </row>
    <row r="34">
      <c r="B34" s="23" t="inlineStr">
        <is>
          <t>HR / Duzi pracodawcy</t>
        </is>
      </c>
      <c r="C34" s="23" t="inlineStr">
        <is>
          <t>Bemowo</t>
        </is>
      </c>
      <c r="D34" s="20">
        <f>HYPERLINK("https://www.google.com/maps/search/hotel+Bemowo+Warszawa","SZUKAJ: hotel Bemowo Warszawa")</f>
        <v/>
      </c>
      <c r="E34" s="21" t="n"/>
      <c r="F34" s="22" t="n"/>
    </row>
    <row r="35">
      <c r="B35" s="23" t="inlineStr">
        <is>
          <t>Zarzadcy nieruchomosci</t>
        </is>
      </c>
      <c r="C35" s="23" t="inlineStr">
        <is>
          <t>Bialoleka</t>
        </is>
      </c>
      <c r="D35" s="20">
        <f>HYPERLINK("https://www.google.com/maps/search/spoldzielnia+mieszkaniowa+Bialoleka+Warszawa","SZUKAJ: spoldzielnia mieszkaniowa Bialoleka Warszawa")</f>
        <v/>
      </c>
      <c r="E35" s="21" t="n"/>
      <c r="F35" s="22" t="n"/>
    </row>
    <row r="36">
      <c r="B36" s="23" t="inlineStr">
        <is>
          <t>Zarzadcy nieruchomosci</t>
        </is>
      </c>
      <c r="C36" s="23" t="inlineStr">
        <is>
          <t>Bialoleka</t>
        </is>
      </c>
      <c r="D36" s="20">
        <f>HYPERLINK("https://www.google.com/maps/search/wspolnota+mieszkaniowa+Bialoleka+Warszawa","SZUKAJ: wspolnota mieszkaniowa Bialoleka Warszawa")</f>
        <v/>
      </c>
      <c r="E36" s="21" t="n"/>
      <c r="F36" s="22" t="n"/>
    </row>
    <row r="37">
      <c r="B37" s="23" t="inlineStr">
        <is>
          <t>Firmy budowlane</t>
        </is>
      </c>
      <c r="C37" s="23" t="inlineStr">
        <is>
          <t>Bialoleka</t>
        </is>
      </c>
      <c r="D37" s="20">
        <f>HYPERLINK("https://www.google.com/maps/search/deweloper+Bialoleka+Warszawa","SZUKAJ: deweloper Bialoleka Warszawa")</f>
        <v/>
      </c>
      <c r="E37" s="21" t="n"/>
      <c r="F37" s="22" t="n"/>
    </row>
    <row r="38">
      <c r="B38" s="23" t="inlineStr">
        <is>
          <t>Firmy budowlane</t>
        </is>
      </c>
      <c r="C38" s="23" t="inlineStr">
        <is>
          <t>Bialoleka</t>
        </is>
      </c>
      <c r="D38" s="20">
        <f>HYPERLINK("https://www.google.com/maps/search/generalny+wykonawca+Bialoleka+Warszawa","SZUKAJ: generalny wykonawca Bialoleka Warszawa")</f>
        <v/>
      </c>
      <c r="E38" s="21" t="n"/>
      <c r="F38" s="22" t="n"/>
    </row>
    <row r="39">
      <c r="B39" s="23" t="inlineStr">
        <is>
          <t>Agencje nieruchomosci</t>
        </is>
      </c>
      <c r="C39" s="23" t="inlineStr">
        <is>
          <t>Bialoleka</t>
        </is>
      </c>
      <c r="D39" s="20">
        <f>HYPERLINK("https://www.google.com/maps/search/agencja+nieruchomosci+Bialoleka+Warszawa","SZUKAJ: agencja nieruchomosci Bialoleka Warszawa")</f>
        <v/>
      </c>
      <c r="E39" s="21" t="n"/>
      <c r="F39" s="22" t="n"/>
    </row>
    <row r="40">
      <c r="B40" s="23" t="inlineStr">
        <is>
          <t>HR / Duzi pracodawcy</t>
        </is>
      </c>
      <c r="C40" s="23" t="inlineStr">
        <is>
          <t>Bialoleka</t>
        </is>
      </c>
      <c r="D40" s="20">
        <f>HYPERLINK("https://www.google.com/maps/search/centrum+logistyczne+Bialoleka+Warszawa","SZUKAJ: centrum logistyczne Bialoleka Warszawa")</f>
        <v/>
      </c>
      <c r="E40" s="21" t="n"/>
      <c r="F40" s="22" t="n"/>
    </row>
    <row r="41">
      <c r="B41" s="23" t="inlineStr">
        <is>
          <t>HR / Duzi pracodawcy</t>
        </is>
      </c>
      <c r="C41" s="23" t="inlineStr">
        <is>
          <t>Bialoleka</t>
        </is>
      </c>
      <c r="D41" s="20">
        <f>HYPERLINK("https://www.google.com/maps/search/hotel+Bialoleka+Warszawa","SZUKAJ: hotel Bialoleka Warszawa")</f>
        <v/>
      </c>
      <c r="E41" s="21" t="n"/>
      <c r="F41" s="22" t="n"/>
    </row>
    <row r="42">
      <c r="B42" s="23" t="inlineStr">
        <is>
          <t>Zarzadcy nieruchomosci</t>
        </is>
      </c>
      <c r="C42" s="23" t="inlineStr">
        <is>
          <t>Bielany</t>
        </is>
      </c>
      <c r="D42" s="20">
        <f>HYPERLINK("https://www.google.com/maps/search/spoldzielnia+mieszkaniowa+Bielany+Warszawa","SZUKAJ: spoldzielnia mieszkaniowa Bielany Warszawa")</f>
        <v/>
      </c>
      <c r="E42" s="21" t="n"/>
      <c r="F42" s="22" t="n"/>
    </row>
    <row r="43">
      <c r="B43" s="23" t="inlineStr">
        <is>
          <t>Zarzadcy nieruchomosci</t>
        </is>
      </c>
      <c r="C43" s="23" t="inlineStr">
        <is>
          <t>Bielany</t>
        </is>
      </c>
      <c r="D43" s="20">
        <f>HYPERLINK("https://www.google.com/maps/search/wspolnota+mieszkaniowa+Bielany+Warszawa","SZUKAJ: wspolnota mieszkaniowa Bielany Warszawa")</f>
        <v/>
      </c>
      <c r="E43" s="21" t="n"/>
      <c r="F43" s="22" t="n"/>
    </row>
    <row r="44">
      <c r="B44" s="23" t="inlineStr">
        <is>
          <t>Firmy budowlane</t>
        </is>
      </c>
      <c r="C44" s="23" t="inlineStr">
        <is>
          <t>Bielany</t>
        </is>
      </c>
      <c r="D44" s="20">
        <f>HYPERLINK("https://www.google.com/maps/search/deweloper+Bielany+Warszawa","SZUKAJ: deweloper Bielany Warszawa")</f>
        <v/>
      </c>
      <c r="E44" s="21" t="n"/>
      <c r="F44" s="22" t="n"/>
    </row>
    <row r="45">
      <c r="B45" s="23" t="inlineStr">
        <is>
          <t>Firmy budowlane</t>
        </is>
      </c>
      <c r="C45" s="23" t="inlineStr">
        <is>
          <t>Bielany</t>
        </is>
      </c>
      <c r="D45" s="20">
        <f>HYPERLINK("https://www.google.com/maps/search/generalny+wykonawca+Bielany+Warszawa","SZUKAJ: generalny wykonawca Bielany Warszawa")</f>
        <v/>
      </c>
      <c r="E45" s="21" t="n"/>
      <c r="F45" s="22" t="n"/>
    </row>
    <row r="46">
      <c r="B46" s="23" t="inlineStr">
        <is>
          <t>Agencje nieruchomosci</t>
        </is>
      </c>
      <c r="C46" s="23" t="inlineStr">
        <is>
          <t>Bielany</t>
        </is>
      </c>
      <c r="D46" s="20">
        <f>HYPERLINK("https://www.google.com/maps/search/agencja+nieruchomosci+Bielany+Warszawa","SZUKAJ: agencja nieruchomosci Bielany Warszawa")</f>
        <v/>
      </c>
      <c r="E46" s="21" t="n"/>
      <c r="F46" s="22" t="n"/>
    </row>
    <row r="47">
      <c r="B47" s="23" t="inlineStr">
        <is>
          <t>HR / Duzi pracodawcy</t>
        </is>
      </c>
      <c r="C47" s="23" t="inlineStr">
        <is>
          <t>Bielany</t>
        </is>
      </c>
      <c r="D47" s="20">
        <f>HYPERLINK("https://www.google.com/maps/search/centrum+logistyczne+Bielany+Warszawa","SZUKAJ: centrum logistyczne Bielany Warszawa")</f>
        <v/>
      </c>
      <c r="E47" s="21" t="n"/>
      <c r="F47" s="22" t="n"/>
    </row>
    <row r="48">
      <c r="B48" s="23" t="inlineStr">
        <is>
          <t>HR / Duzi pracodawcy</t>
        </is>
      </c>
      <c r="C48" s="23" t="inlineStr">
        <is>
          <t>Bielany</t>
        </is>
      </c>
      <c r="D48" s="20">
        <f>HYPERLINK("https://www.google.com/maps/search/hotel+Bielany+Warszawa","SZUKAJ: hotel Bielany Warszawa")</f>
        <v/>
      </c>
      <c r="E48" s="21" t="n"/>
      <c r="F48" s="22" t="n"/>
    </row>
    <row r="49">
      <c r="B49" s="23" t="inlineStr">
        <is>
          <t>Zarzadcy nieruchomosci</t>
        </is>
      </c>
      <c r="C49" s="23" t="inlineStr">
        <is>
          <t>Mokotow</t>
        </is>
      </c>
      <c r="D49" s="20">
        <f>HYPERLINK("https://www.google.com/maps/search/spoldzielnia+mieszkaniowa+Mokotow+Warszawa","SZUKAJ: spoldzielnia mieszkaniowa Mokotow Warszawa")</f>
        <v/>
      </c>
      <c r="E49" s="21" t="n"/>
      <c r="F49" s="22" t="n"/>
    </row>
    <row r="50">
      <c r="B50" s="23" t="inlineStr">
        <is>
          <t>Zarzadcy nieruchomosci</t>
        </is>
      </c>
      <c r="C50" s="23" t="inlineStr">
        <is>
          <t>Mokotow</t>
        </is>
      </c>
      <c r="D50" s="20">
        <f>HYPERLINK("https://www.google.com/maps/search/wspolnota+mieszkaniowa+Mokotow+Warszawa","SZUKAJ: wspolnota mieszkaniowa Mokotow Warszawa")</f>
        <v/>
      </c>
      <c r="E50" s="21" t="n"/>
      <c r="F50" s="22" t="n"/>
    </row>
    <row r="51">
      <c r="B51" s="23" t="inlineStr">
        <is>
          <t>Firmy budowlane</t>
        </is>
      </c>
      <c r="C51" s="23" t="inlineStr">
        <is>
          <t>Mokotow</t>
        </is>
      </c>
      <c r="D51" s="20">
        <f>HYPERLINK("https://www.google.com/maps/search/deweloper+Mokotow+Warszawa","SZUKAJ: deweloper Mokotow Warszawa")</f>
        <v/>
      </c>
      <c r="E51" s="21" t="n"/>
      <c r="F51" s="22" t="n"/>
    </row>
    <row r="52">
      <c r="B52" s="23" t="inlineStr">
        <is>
          <t>Firmy budowlane</t>
        </is>
      </c>
      <c r="C52" s="23" t="inlineStr">
        <is>
          <t>Mokotow</t>
        </is>
      </c>
      <c r="D52" s="20">
        <f>HYPERLINK("https://www.google.com/maps/search/generalny+wykonawca+Mokotow+Warszawa","SZUKAJ: generalny wykonawca Mokotow Warszawa")</f>
        <v/>
      </c>
      <c r="E52" s="21" t="n"/>
      <c r="F52" s="22" t="n"/>
    </row>
    <row r="53">
      <c r="B53" s="23" t="inlineStr">
        <is>
          <t>Agencje nieruchomosci</t>
        </is>
      </c>
      <c r="C53" s="23" t="inlineStr">
        <is>
          <t>Mokotow</t>
        </is>
      </c>
      <c r="D53" s="20">
        <f>HYPERLINK("https://www.google.com/maps/search/agencja+nieruchomosci+Mokotow+Warszawa","SZUKAJ: agencja nieruchomosci Mokotow Warszawa")</f>
        <v/>
      </c>
      <c r="E53" s="21" t="n"/>
      <c r="F53" s="22" t="n"/>
    </row>
    <row r="54">
      <c r="B54" s="23" t="inlineStr">
        <is>
          <t>HR / Duzi pracodawcy</t>
        </is>
      </c>
      <c r="C54" s="23" t="inlineStr">
        <is>
          <t>Mokotow</t>
        </is>
      </c>
      <c r="D54" s="20">
        <f>HYPERLINK("https://www.google.com/maps/search/centrum+logistyczne+Mokotow+Warszawa","SZUKAJ: centrum logistyczne Mokotow Warszawa")</f>
        <v/>
      </c>
      <c r="E54" s="21" t="n"/>
      <c r="F54" s="22" t="n"/>
    </row>
    <row r="55">
      <c r="B55" s="23" t="inlineStr">
        <is>
          <t>HR / Duzi pracodawcy</t>
        </is>
      </c>
      <c r="C55" s="23" t="inlineStr">
        <is>
          <t>Mokotow</t>
        </is>
      </c>
      <c r="D55" s="20">
        <f>HYPERLINK("https://www.google.com/maps/search/hotel+Mokotow+Warszawa","SZUKAJ: hotel Mokotow Warszawa")</f>
        <v/>
      </c>
      <c r="E55" s="21" t="n"/>
      <c r="F55" s="22" t="n"/>
    </row>
    <row r="56">
      <c r="B56" s="23" t="inlineStr">
        <is>
          <t>Zarzadcy nieruchomosci</t>
        </is>
      </c>
      <c r="C56" s="23" t="inlineStr">
        <is>
          <t>Ochota</t>
        </is>
      </c>
      <c r="D56" s="20">
        <f>HYPERLINK("https://www.google.com/maps/search/spoldzielnia+mieszkaniowa+Ochota+Warszawa","SZUKAJ: spoldzielnia mieszkaniowa Ochota Warszawa")</f>
        <v/>
      </c>
      <c r="E56" s="21" t="n"/>
      <c r="F56" s="22" t="n"/>
    </row>
    <row r="57">
      <c r="B57" s="23" t="inlineStr">
        <is>
          <t>Zarzadcy nieruchomosci</t>
        </is>
      </c>
      <c r="C57" s="23" t="inlineStr">
        <is>
          <t>Ochota</t>
        </is>
      </c>
      <c r="D57" s="20">
        <f>HYPERLINK("https://www.google.com/maps/search/wspolnota+mieszkaniowa+Ochota+Warszawa","SZUKAJ: wspolnota mieszkaniowa Ochota Warszawa")</f>
        <v/>
      </c>
      <c r="E57" s="21" t="n"/>
      <c r="F57" s="22" t="n"/>
    </row>
    <row r="58">
      <c r="B58" s="23" t="inlineStr">
        <is>
          <t>Firmy budowlane</t>
        </is>
      </c>
      <c r="C58" s="23" t="inlineStr">
        <is>
          <t>Ochota</t>
        </is>
      </c>
      <c r="D58" s="20">
        <f>HYPERLINK("https://www.google.com/maps/search/deweloper+Ochota+Warszawa","SZUKAJ: deweloper Ochota Warszawa")</f>
        <v/>
      </c>
      <c r="E58" s="21" t="n"/>
      <c r="F58" s="22" t="n"/>
    </row>
    <row r="59">
      <c r="B59" s="23" t="inlineStr">
        <is>
          <t>Firmy budowlane</t>
        </is>
      </c>
      <c r="C59" s="23" t="inlineStr">
        <is>
          <t>Ochota</t>
        </is>
      </c>
      <c r="D59" s="20">
        <f>HYPERLINK("https://www.google.com/maps/search/generalny+wykonawca+Ochota+Warszawa","SZUKAJ: generalny wykonawca Ochota Warszawa")</f>
        <v/>
      </c>
      <c r="E59" s="21" t="n"/>
      <c r="F59" s="22" t="n"/>
    </row>
    <row r="60">
      <c r="B60" s="23" t="inlineStr">
        <is>
          <t>Agencje nieruchomosci</t>
        </is>
      </c>
      <c r="C60" s="23" t="inlineStr">
        <is>
          <t>Ochota</t>
        </is>
      </c>
      <c r="D60" s="20">
        <f>HYPERLINK("https://www.google.com/maps/search/agencja+nieruchomosci+Ochota+Warszawa","SZUKAJ: agencja nieruchomosci Ochota Warszawa")</f>
        <v/>
      </c>
      <c r="E60" s="21" t="n"/>
      <c r="F60" s="22" t="n"/>
    </row>
    <row r="61">
      <c r="B61" s="23" t="inlineStr">
        <is>
          <t>HR / Duzi pracodawcy</t>
        </is>
      </c>
      <c r="C61" s="23" t="inlineStr">
        <is>
          <t>Ochota</t>
        </is>
      </c>
      <c r="D61" s="20">
        <f>HYPERLINK("https://www.google.com/maps/search/centrum+logistyczne+Ochota+Warszawa","SZUKAJ: centrum logistyczne Ochota Warszawa")</f>
        <v/>
      </c>
      <c r="E61" s="21" t="n"/>
      <c r="F61" s="22" t="n"/>
    </row>
    <row r="62">
      <c r="B62" s="23" t="inlineStr">
        <is>
          <t>HR / Duzi pracodawcy</t>
        </is>
      </c>
      <c r="C62" s="23" t="inlineStr">
        <is>
          <t>Ochota</t>
        </is>
      </c>
      <c r="D62" s="20">
        <f>HYPERLINK("https://www.google.com/maps/search/hotel+Ochota+Warszawa","SZUKAJ: hotel Ochota Warszawa")</f>
        <v/>
      </c>
      <c r="E62" s="21" t="n"/>
      <c r="F62" s="22" t="n"/>
    </row>
    <row r="63">
      <c r="B63" s="23" t="inlineStr">
        <is>
          <t>Zarzadcy nieruchomosci</t>
        </is>
      </c>
      <c r="C63" s="23" t="inlineStr">
        <is>
          <t>Praga-Poludnie</t>
        </is>
      </c>
      <c r="D63" s="20">
        <f>HYPERLINK("https://www.google.com/maps/search/spoldzielnia+mieszkaniowa+Praga-Poludnie+Warszawa","SZUKAJ: spoldzielnia mieszkaniowa Praga-Poludnie Warszawa")</f>
        <v/>
      </c>
      <c r="E63" s="21" t="n"/>
      <c r="F63" s="22" t="n"/>
    </row>
    <row r="64">
      <c r="B64" s="23" t="inlineStr">
        <is>
          <t>Zarzadcy nieruchomosci</t>
        </is>
      </c>
      <c r="C64" s="23" t="inlineStr">
        <is>
          <t>Praga-Poludnie</t>
        </is>
      </c>
      <c r="D64" s="20">
        <f>HYPERLINK("https://www.google.com/maps/search/wspolnota+mieszkaniowa+Praga-Poludnie+Warszawa","SZUKAJ: wspolnota mieszkaniowa Praga-Poludnie Warszawa")</f>
        <v/>
      </c>
      <c r="E64" s="21" t="n"/>
      <c r="F64" s="22" t="n"/>
    </row>
    <row r="65">
      <c r="B65" s="23" t="inlineStr">
        <is>
          <t>Firmy budowlane</t>
        </is>
      </c>
      <c r="C65" s="23" t="inlineStr">
        <is>
          <t>Praga-Poludnie</t>
        </is>
      </c>
      <c r="D65" s="20">
        <f>HYPERLINK("https://www.google.com/maps/search/deweloper+Praga-Poludnie+Warszawa","SZUKAJ: deweloper Praga-Poludnie Warszawa")</f>
        <v/>
      </c>
      <c r="E65" s="21" t="n"/>
      <c r="F65" s="22" t="n"/>
    </row>
    <row r="66">
      <c r="B66" s="23" t="inlineStr">
        <is>
          <t>Firmy budowlane</t>
        </is>
      </c>
      <c r="C66" s="23" t="inlineStr">
        <is>
          <t>Praga-Poludnie</t>
        </is>
      </c>
      <c r="D66" s="20">
        <f>HYPERLINK("https://www.google.com/maps/search/generalny+wykonawca+Praga-Poludnie+Warszawa","SZUKAJ: generalny wykonawca Praga-Poludnie Warszawa")</f>
        <v/>
      </c>
      <c r="E66" s="21" t="n"/>
      <c r="F66" s="22" t="n"/>
    </row>
    <row r="67">
      <c r="B67" s="23" t="inlineStr">
        <is>
          <t>Agencje nieruchomosci</t>
        </is>
      </c>
      <c r="C67" s="23" t="inlineStr">
        <is>
          <t>Praga-Poludnie</t>
        </is>
      </c>
      <c r="D67" s="20">
        <f>HYPERLINK("https://www.google.com/maps/search/agencja+nieruchomosci+Praga-Poludnie+Warszawa","SZUKAJ: agencja nieruchomosci Praga-Poludnie Warszawa")</f>
        <v/>
      </c>
      <c r="E67" s="21" t="n"/>
      <c r="F67" s="22" t="n"/>
    </row>
    <row r="68">
      <c r="B68" s="23" t="inlineStr">
        <is>
          <t>HR / Duzi pracodawcy</t>
        </is>
      </c>
      <c r="C68" s="23" t="inlineStr">
        <is>
          <t>Praga-Poludnie</t>
        </is>
      </c>
      <c r="D68" s="20">
        <f>HYPERLINK("https://www.google.com/maps/search/centrum+logistyczne+Praga-Poludnie+Warszawa","SZUKAJ: centrum logistyczne Praga-Poludnie Warszawa")</f>
        <v/>
      </c>
      <c r="E68" s="21" t="n"/>
      <c r="F68" s="22" t="n"/>
    </row>
    <row r="69">
      <c r="B69" s="23" t="inlineStr">
        <is>
          <t>HR / Duzi pracodawcy</t>
        </is>
      </c>
      <c r="C69" s="23" t="inlineStr">
        <is>
          <t>Praga-Poludnie</t>
        </is>
      </c>
      <c r="D69" s="20">
        <f>HYPERLINK("https://www.google.com/maps/search/hotel+Praga-Poludnie+Warszawa","SZUKAJ: hotel Praga-Poludnie Warszawa")</f>
        <v/>
      </c>
      <c r="E69" s="21" t="n"/>
      <c r="F69" s="22" t="n"/>
    </row>
    <row r="70">
      <c r="B70" s="23" t="inlineStr">
        <is>
          <t>Zarzadcy nieruchomosci</t>
        </is>
      </c>
      <c r="C70" s="23" t="inlineStr">
        <is>
          <t>Praga-Polnoc</t>
        </is>
      </c>
      <c r="D70" s="20">
        <f>HYPERLINK("https://www.google.com/maps/search/spoldzielnia+mieszkaniowa+Praga-Polnoc+Warszawa","SZUKAJ: spoldzielnia mieszkaniowa Praga-Polnoc Warszawa")</f>
        <v/>
      </c>
      <c r="E70" s="21" t="n"/>
      <c r="F70" s="22" t="n"/>
    </row>
    <row r="71">
      <c r="B71" s="23" t="inlineStr">
        <is>
          <t>Zarzadcy nieruchomosci</t>
        </is>
      </c>
      <c r="C71" s="23" t="inlineStr">
        <is>
          <t>Praga-Polnoc</t>
        </is>
      </c>
      <c r="D71" s="20">
        <f>HYPERLINK("https://www.google.com/maps/search/wspolnota+mieszkaniowa+Praga-Polnoc+Warszawa","SZUKAJ: wspolnota mieszkaniowa Praga-Polnoc Warszawa")</f>
        <v/>
      </c>
      <c r="E71" s="21" t="n"/>
      <c r="F71" s="22" t="n"/>
    </row>
    <row r="72">
      <c r="B72" s="23" t="inlineStr">
        <is>
          <t>Firmy budowlane</t>
        </is>
      </c>
      <c r="C72" s="23" t="inlineStr">
        <is>
          <t>Praga-Polnoc</t>
        </is>
      </c>
      <c r="D72" s="20">
        <f>HYPERLINK("https://www.google.com/maps/search/deweloper+Praga-Polnoc+Warszawa","SZUKAJ: deweloper Praga-Polnoc Warszawa")</f>
        <v/>
      </c>
      <c r="E72" s="21" t="n"/>
      <c r="F72" s="22" t="n"/>
    </row>
    <row r="73">
      <c r="B73" s="23" t="inlineStr">
        <is>
          <t>Firmy budowlane</t>
        </is>
      </c>
      <c r="C73" s="23" t="inlineStr">
        <is>
          <t>Praga-Polnoc</t>
        </is>
      </c>
      <c r="D73" s="20">
        <f>HYPERLINK("https://www.google.com/maps/search/generalny+wykonawca+Praga-Polnoc+Warszawa","SZUKAJ: generalny wykonawca Praga-Polnoc Warszawa")</f>
        <v/>
      </c>
      <c r="E73" s="21" t="n"/>
      <c r="F73" s="22" t="n"/>
    </row>
    <row r="74">
      <c r="B74" s="23" t="inlineStr">
        <is>
          <t>Agencje nieruchomosci</t>
        </is>
      </c>
      <c r="C74" s="23" t="inlineStr">
        <is>
          <t>Praga-Polnoc</t>
        </is>
      </c>
      <c r="D74" s="20">
        <f>HYPERLINK("https://www.google.com/maps/search/agencja+nieruchomosci+Praga-Polnoc+Warszawa","SZUKAJ: agencja nieruchomosci Praga-Polnoc Warszawa")</f>
        <v/>
      </c>
      <c r="E74" s="21" t="n"/>
      <c r="F74" s="22" t="n"/>
    </row>
    <row r="75">
      <c r="B75" s="23" t="inlineStr">
        <is>
          <t>HR / Duzi pracodawcy</t>
        </is>
      </c>
      <c r="C75" s="23" t="inlineStr">
        <is>
          <t>Praga-Polnoc</t>
        </is>
      </c>
      <c r="D75" s="20">
        <f>HYPERLINK("https://www.google.com/maps/search/centrum+logistyczne+Praga-Polnoc+Warszawa","SZUKAJ: centrum logistyczne Praga-Polnoc Warszawa")</f>
        <v/>
      </c>
      <c r="E75" s="21" t="n"/>
      <c r="F75" s="22" t="n"/>
    </row>
    <row r="76">
      <c r="B76" s="23" t="inlineStr">
        <is>
          <t>HR / Duzi pracodawcy</t>
        </is>
      </c>
      <c r="C76" s="23" t="inlineStr">
        <is>
          <t>Praga-Polnoc</t>
        </is>
      </c>
      <c r="D76" s="20">
        <f>HYPERLINK("https://www.google.com/maps/search/hotel+Praga-Polnoc+Warszawa","SZUKAJ: hotel Praga-Polnoc Warszawa")</f>
        <v/>
      </c>
      <c r="E76" s="21" t="n"/>
      <c r="F76" s="22" t="n"/>
    </row>
    <row r="77">
      <c r="B77" s="23" t="inlineStr">
        <is>
          <t>Zarzadcy nieruchomosci</t>
        </is>
      </c>
      <c r="C77" s="23" t="inlineStr">
        <is>
          <t>Rembertow</t>
        </is>
      </c>
      <c r="D77" s="20">
        <f>HYPERLINK("https://www.google.com/maps/search/spoldzielnia+mieszkaniowa+Rembertow+Warszawa","SZUKAJ: spoldzielnia mieszkaniowa Rembertow Warszawa")</f>
        <v/>
      </c>
      <c r="E77" s="21" t="n"/>
      <c r="F77" s="22" t="n"/>
    </row>
    <row r="78">
      <c r="B78" s="23" t="inlineStr">
        <is>
          <t>Zarzadcy nieruchomosci</t>
        </is>
      </c>
      <c r="C78" s="23" t="inlineStr">
        <is>
          <t>Rembertow</t>
        </is>
      </c>
      <c r="D78" s="20">
        <f>HYPERLINK("https://www.google.com/maps/search/wspolnota+mieszkaniowa+Rembertow+Warszawa","SZUKAJ: wspolnota mieszkaniowa Rembertow Warszawa")</f>
        <v/>
      </c>
      <c r="E78" s="21" t="n"/>
      <c r="F78" s="22" t="n"/>
    </row>
    <row r="79">
      <c r="B79" s="23" t="inlineStr">
        <is>
          <t>Firmy budowlane</t>
        </is>
      </c>
      <c r="C79" s="23" t="inlineStr">
        <is>
          <t>Rembertow</t>
        </is>
      </c>
      <c r="D79" s="20">
        <f>HYPERLINK("https://www.google.com/maps/search/deweloper+Rembertow+Warszawa","SZUKAJ: deweloper Rembertow Warszawa")</f>
        <v/>
      </c>
      <c r="E79" s="21" t="n"/>
      <c r="F79" s="22" t="n"/>
    </row>
    <row r="80">
      <c r="B80" s="23" t="inlineStr">
        <is>
          <t>Firmy budowlane</t>
        </is>
      </c>
      <c r="C80" s="23" t="inlineStr">
        <is>
          <t>Rembertow</t>
        </is>
      </c>
      <c r="D80" s="20">
        <f>HYPERLINK("https://www.google.com/maps/search/generalny+wykonawca+Rembertow+Warszawa","SZUKAJ: generalny wykonawca Rembertow Warszawa")</f>
        <v/>
      </c>
      <c r="E80" s="21" t="n"/>
      <c r="F80" s="22" t="n"/>
    </row>
    <row r="81">
      <c r="B81" s="23" t="inlineStr">
        <is>
          <t>Agencje nieruchomosci</t>
        </is>
      </c>
      <c r="C81" s="23" t="inlineStr">
        <is>
          <t>Rembertow</t>
        </is>
      </c>
      <c r="D81" s="20">
        <f>HYPERLINK("https://www.google.com/maps/search/agencja+nieruchomosci+Rembertow+Warszawa","SZUKAJ: agencja nieruchomosci Rembertow Warszawa")</f>
        <v/>
      </c>
      <c r="E81" s="21" t="n"/>
      <c r="F81" s="22" t="n"/>
    </row>
    <row r="82">
      <c r="B82" s="23" t="inlineStr">
        <is>
          <t>HR / Duzi pracodawcy</t>
        </is>
      </c>
      <c r="C82" s="23" t="inlineStr">
        <is>
          <t>Rembertow</t>
        </is>
      </c>
      <c r="D82" s="20">
        <f>HYPERLINK("https://www.google.com/maps/search/centrum+logistyczne+Rembertow+Warszawa","SZUKAJ: centrum logistyczne Rembertow Warszawa")</f>
        <v/>
      </c>
      <c r="E82" s="21" t="n"/>
      <c r="F82" s="22" t="n"/>
    </row>
    <row r="83">
      <c r="B83" s="23" t="inlineStr">
        <is>
          <t>HR / Duzi pracodawcy</t>
        </is>
      </c>
      <c r="C83" s="23" t="inlineStr">
        <is>
          <t>Rembertow</t>
        </is>
      </c>
      <c r="D83" s="20">
        <f>HYPERLINK("https://www.google.com/maps/search/hotel+Rembertow+Warszawa","SZUKAJ: hotel Rembertow Warszawa")</f>
        <v/>
      </c>
      <c r="E83" s="21" t="n"/>
      <c r="F83" s="22" t="n"/>
    </row>
    <row r="84">
      <c r="B84" s="23" t="inlineStr">
        <is>
          <t>Zarzadcy nieruchomosci</t>
        </is>
      </c>
      <c r="C84" s="23" t="inlineStr">
        <is>
          <t>Srodmiescie</t>
        </is>
      </c>
      <c r="D84" s="20">
        <f>HYPERLINK("https://www.google.com/maps/search/spoldzielnia+mieszkaniowa+Srodmiescie+Warszawa","SZUKAJ: spoldzielnia mieszkaniowa Srodmiescie Warszawa")</f>
        <v/>
      </c>
      <c r="E84" s="21" t="n"/>
      <c r="F84" s="22" t="n"/>
    </row>
    <row r="85">
      <c r="B85" s="23" t="inlineStr">
        <is>
          <t>Zarzadcy nieruchomosci</t>
        </is>
      </c>
      <c r="C85" s="23" t="inlineStr">
        <is>
          <t>Srodmiescie</t>
        </is>
      </c>
      <c r="D85" s="20">
        <f>HYPERLINK("https://www.google.com/maps/search/wspolnota+mieszkaniowa+Srodmiescie+Warszawa","SZUKAJ: wspolnota mieszkaniowa Srodmiescie Warszawa")</f>
        <v/>
      </c>
      <c r="E85" s="21" t="n"/>
      <c r="F85" s="22" t="n"/>
    </row>
    <row r="86">
      <c r="B86" s="23" t="inlineStr">
        <is>
          <t>Firmy budowlane</t>
        </is>
      </c>
      <c r="C86" s="23" t="inlineStr">
        <is>
          <t>Srodmiescie</t>
        </is>
      </c>
      <c r="D86" s="20">
        <f>HYPERLINK("https://www.google.com/maps/search/deweloper+Srodmiescie+Warszawa","SZUKAJ: deweloper Srodmiescie Warszawa")</f>
        <v/>
      </c>
      <c r="E86" s="21" t="n"/>
      <c r="F86" s="22" t="n"/>
    </row>
    <row r="87">
      <c r="B87" s="23" t="inlineStr">
        <is>
          <t>Firmy budowlane</t>
        </is>
      </c>
      <c r="C87" s="23" t="inlineStr">
        <is>
          <t>Srodmiescie</t>
        </is>
      </c>
      <c r="D87" s="20">
        <f>HYPERLINK("https://www.google.com/maps/search/generalny+wykonawca+Srodmiescie+Warszawa","SZUKAJ: generalny wykonawca Srodmiescie Warszawa")</f>
        <v/>
      </c>
      <c r="E87" s="21" t="n"/>
      <c r="F87" s="22" t="n"/>
    </row>
    <row r="88">
      <c r="B88" s="23" t="inlineStr">
        <is>
          <t>Agencje nieruchomosci</t>
        </is>
      </c>
      <c r="C88" s="23" t="inlineStr">
        <is>
          <t>Srodmiescie</t>
        </is>
      </c>
      <c r="D88" s="20">
        <f>HYPERLINK("https://www.google.com/maps/search/agencja+nieruchomosci+Srodmiescie+Warszawa","SZUKAJ: agencja nieruchomosci Srodmiescie Warszawa")</f>
        <v/>
      </c>
      <c r="E88" s="21" t="n"/>
      <c r="F88" s="22" t="n"/>
    </row>
    <row r="89">
      <c r="B89" s="23" t="inlineStr">
        <is>
          <t>HR / Duzi pracodawcy</t>
        </is>
      </c>
      <c r="C89" s="23" t="inlineStr">
        <is>
          <t>Srodmiescie</t>
        </is>
      </c>
      <c r="D89" s="20">
        <f>HYPERLINK("https://www.google.com/maps/search/centrum+logistyczne+Srodmiescie+Warszawa","SZUKAJ: centrum logistyczne Srodmiescie Warszawa")</f>
        <v/>
      </c>
      <c r="E89" s="21" t="n"/>
      <c r="F89" s="22" t="n"/>
    </row>
    <row r="90">
      <c r="B90" s="23" t="inlineStr">
        <is>
          <t>HR / Duzi pracodawcy</t>
        </is>
      </c>
      <c r="C90" s="23" t="inlineStr">
        <is>
          <t>Srodmiescie</t>
        </is>
      </c>
      <c r="D90" s="20">
        <f>HYPERLINK("https://www.google.com/maps/search/hotel+Srodmiescie+Warszawa","SZUKAJ: hotel Srodmiescie Warszawa")</f>
        <v/>
      </c>
      <c r="E90" s="21" t="n"/>
      <c r="F90" s="22" t="n"/>
    </row>
    <row r="91">
      <c r="B91" s="23" t="inlineStr">
        <is>
          <t>Zarzadcy nieruchomosci</t>
        </is>
      </c>
      <c r="C91" s="23" t="inlineStr">
        <is>
          <t>Targowek</t>
        </is>
      </c>
      <c r="D91" s="20">
        <f>HYPERLINK("https://www.google.com/maps/search/spoldzielnia+mieszkaniowa+Targowek+Warszawa","SZUKAJ: spoldzielnia mieszkaniowa Targowek Warszawa")</f>
        <v/>
      </c>
      <c r="E91" s="21" t="n"/>
      <c r="F91" s="22" t="n"/>
    </row>
    <row r="92">
      <c r="B92" s="23" t="inlineStr">
        <is>
          <t>Zarzadcy nieruchomosci</t>
        </is>
      </c>
      <c r="C92" s="23" t="inlineStr">
        <is>
          <t>Targowek</t>
        </is>
      </c>
      <c r="D92" s="20">
        <f>HYPERLINK("https://www.google.com/maps/search/wspolnota+mieszkaniowa+Targowek+Warszawa","SZUKAJ: wspolnota mieszkaniowa Targowek Warszawa")</f>
        <v/>
      </c>
      <c r="E92" s="21" t="n"/>
      <c r="F92" s="22" t="n"/>
    </row>
    <row r="93">
      <c r="B93" s="23" t="inlineStr">
        <is>
          <t>Firmy budowlane</t>
        </is>
      </c>
      <c r="C93" s="23" t="inlineStr">
        <is>
          <t>Targowek</t>
        </is>
      </c>
      <c r="D93" s="20">
        <f>HYPERLINK("https://www.google.com/maps/search/deweloper+Targowek+Warszawa","SZUKAJ: deweloper Targowek Warszawa")</f>
        <v/>
      </c>
      <c r="E93" s="21" t="n"/>
      <c r="F93" s="22" t="n"/>
    </row>
    <row r="94">
      <c r="B94" s="23" t="inlineStr">
        <is>
          <t>Firmy budowlane</t>
        </is>
      </c>
      <c r="C94" s="23" t="inlineStr">
        <is>
          <t>Targowek</t>
        </is>
      </c>
      <c r="D94" s="20">
        <f>HYPERLINK("https://www.google.com/maps/search/generalny+wykonawca+Targowek+Warszawa","SZUKAJ: generalny wykonawca Targowek Warszawa")</f>
        <v/>
      </c>
      <c r="E94" s="21" t="n"/>
      <c r="F94" s="22" t="n"/>
    </row>
    <row r="95">
      <c r="B95" s="23" t="inlineStr">
        <is>
          <t>Agencje nieruchomosci</t>
        </is>
      </c>
      <c r="C95" s="23" t="inlineStr">
        <is>
          <t>Targowek</t>
        </is>
      </c>
      <c r="D95" s="20">
        <f>HYPERLINK("https://www.google.com/maps/search/agencja+nieruchomosci+Targowek+Warszawa","SZUKAJ: agencja nieruchomosci Targowek Warszawa")</f>
        <v/>
      </c>
      <c r="E95" s="21" t="n"/>
      <c r="F95" s="22" t="n"/>
    </row>
    <row r="96">
      <c r="B96" s="23" t="inlineStr">
        <is>
          <t>HR / Duzi pracodawcy</t>
        </is>
      </c>
      <c r="C96" s="23" t="inlineStr">
        <is>
          <t>Targowek</t>
        </is>
      </c>
      <c r="D96" s="20">
        <f>HYPERLINK("https://www.google.com/maps/search/centrum+logistyczne+Targowek+Warszawa","SZUKAJ: centrum logistyczne Targowek Warszawa")</f>
        <v/>
      </c>
      <c r="E96" s="21" t="n"/>
      <c r="F96" s="22" t="n"/>
    </row>
    <row r="97">
      <c r="B97" s="23" t="inlineStr">
        <is>
          <t>HR / Duzi pracodawcy</t>
        </is>
      </c>
      <c r="C97" s="23" t="inlineStr">
        <is>
          <t>Targowek</t>
        </is>
      </c>
      <c r="D97" s="20">
        <f>HYPERLINK("https://www.google.com/maps/search/hotel+Targowek+Warszawa","SZUKAJ: hotel Targowek Warszawa")</f>
        <v/>
      </c>
      <c r="E97" s="21" t="n"/>
      <c r="F97" s="22" t="n"/>
    </row>
    <row r="98">
      <c r="B98" s="23" t="inlineStr">
        <is>
          <t>Zarzadcy nieruchomosci</t>
        </is>
      </c>
      <c r="C98" s="23" t="inlineStr">
        <is>
          <t>Ursus</t>
        </is>
      </c>
      <c r="D98" s="20">
        <f>HYPERLINK("https://www.google.com/maps/search/spoldzielnia+mieszkaniowa+Ursus+Warszawa","SZUKAJ: spoldzielnia mieszkaniowa Ursus Warszawa")</f>
        <v/>
      </c>
      <c r="E98" s="21" t="n"/>
      <c r="F98" s="22" t="n"/>
    </row>
    <row r="99">
      <c r="B99" s="23" t="inlineStr">
        <is>
          <t>Zarzadcy nieruchomosci</t>
        </is>
      </c>
      <c r="C99" s="23" t="inlineStr">
        <is>
          <t>Ursus</t>
        </is>
      </c>
      <c r="D99" s="20">
        <f>HYPERLINK("https://www.google.com/maps/search/wspolnota+mieszkaniowa+Ursus+Warszawa","SZUKAJ: wspolnota mieszkaniowa Ursus Warszawa")</f>
        <v/>
      </c>
      <c r="E99" s="21" t="n"/>
      <c r="F99" s="22" t="n"/>
    </row>
    <row r="100">
      <c r="B100" s="23" t="inlineStr">
        <is>
          <t>Firmy budowlane</t>
        </is>
      </c>
      <c r="C100" s="23" t="inlineStr">
        <is>
          <t>Ursus</t>
        </is>
      </c>
      <c r="D100" s="20">
        <f>HYPERLINK("https://www.google.com/maps/search/deweloper+Ursus+Warszawa","SZUKAJ: deweloper Ursus Warszawa")</f>
        <v/>
      </c>
      <c r="E100" s="21" t="n"/>
      <c r="F100" s="22" t="n"/>
    </row>
    <row r="101">
      <c r="B101" s="23" t="inlineStr">
        <is>
          <t>Firmy budowlane</t>
        </is>
      </c>
      <c r="C101" s="23" t="inlineStr">
        <is>
          <t>Ursus</t>
        </is>
      </c>
      <c r="D101" s="20">
        <f>HYPERLINK("https://www.google.com/maps/search/generalny+wykonawca+Ursus+Warszawa","SZUKAJ: generalny wykonawca Ursus Warszawa")</f>
        <v/>
      </c>
      <c r="E101" s="21" t="n"/>
      <c r="F101" s="22" t="n"/>
    </row>
    <row r="102">
      <c r="B102" s="23" t="inlineStr">
        <is>
          <t>Agencje nieruchomosci</t>
        </is>
      </c>
      <c r="C102" s="23" t="inlineStr">
        <is>
          <t>Ursus</t>
        </is>
      </c>
      <c r="D102" s="20">
        <f>HYPERLINK("https://www.google.com/maps/search/agencja+nieruchomosci+Ursus+Warszawa","SZUKAJ: agencja nieruchomosci Ursus Warszawa")</f>
        <v/>
      </c>
      <c r="E102" s="21" t="n"/>
      <c r="F102" s="22" t="n"/>
    </row>
    <row r="103">
      <c r="B103" s="23" t="inlineStr">
        <is>
          <t>HR / Duzi pracodawcy</t>
        </is>
      </c>
      <c r="C103" s="23" t="inlineStr">
        <is>
          <t>Ursus</t>
        </is>
      </c>
      <c r="D103" s="20">
        <f>HYPERLINK("https://www.google.com/maps/search/centrum+logistyczne+Ursus+Warszawa","SZUKAJ: centrum logistyczne Ursus Warszawa")</f>
        <v/>
      </c>
      <c r="E103" s="21" t="n"/>
      <c r="F103" s="22" t="n"/>
    </row>
    <row r="104">
      <c r="B104" s="23" t="inlineStr">
        <is>
          <t>HR / Duzi pracodawcy</t>
        </is>
      </c>
      <c r="C104" s="23" t="inlineStr">
        <is>
          <t>Ursus</t>
        </is>
      </c>
      <c r="D104" s="20">
        <f>HYPERLINK("https://www.google.com/maps/search/hotel+Ursus+Warszawa","SZUKAJ: hotel Ursus Warszawa")</f>
        <v/>
      </c>
      <c r="E104" s="21" t="n"/>
      <c r="F104" s="22" t="n"/>
    </row>
    <row r="105">
      <c r="B105" s="23" t="inlineStr">
        <is>
          <t>Zarzadcy nieruchomosci</t>
        </is>
      </c>
      <c r="C105" s="23" t="inlineStr">
        <is>
          <t>Ursynow</t>
        </is>
      </c>
      <c r="D105" s="20">
        <f>HYPERLINK("https://www.google.com/maps/search/spoldzielnia+mieszkaniowa+Ursynow+Warszawa","SZUKAJ: spoldzielnia mieszkaniowa Ursynow Warszawa")</f>
        <v/>
      </c>
      <c r="E105" s="21" t="n"/>
      <c r="F105" s="22" t="n"/>
    </row>
    <row r="106">
      <c r="B106" s="23" t="inlineStr">
        <is>
          <t>Zarzadcy nieruchomosci</t>
        </is>
      </c>
      <c r="C106" s="23" t="inlineStr">
        <is>
          <t>Ursynow</t>
        </is>
      </c>
      <c r="D106" s="20">
        <f>HYPERLINK("https://www.google.com/maps/search/wspolnota+mieszkaniowa+Ursynow+Warszawa","SZUKAJ: wspolnota mieszkaniowa Ursynow Warszawa")</f>
        <v/>
      </c>
      <c r="E106" s="21" t="n"/>
      <c r="F106" s="22" t="n"/>
    </row>
    <row r="107">
      <c r="B107" s="23" t="inlineStr">
        <is>
          <t>Firmy budowlane</t>
        </is>
      </c>
      <c r="C107" s="23" t="inlineStr">
        <is>
          <t>Ursynow</t>
        </is>
      </c>
      <c r="D107" s="20">
        <f>HYPERLINK("https://www.google.com/maps/search/deweloper+Ursynow+Warszawa","SZUKAJ: deweloper Ursynow Warszawa")</f>
        <v/>
      </c>
      <c r="E107" s="21" t="n"/>
      <c r="F107" s="22" t="n"/>
    </row>
    <row r="108">
      <c r="B108" s="23" t="inlineStr">
        <is>
          <t>Firmy budowlane</t>
        </is>
      </c>
      <c r="C108" s="23" t="inlineStr">
        <is>
          <t>Ursynow</t>
        </is>
      </c>
      <c r="D108" s="20">
        <f>HYPERLINK("https://www.google.com/maps/search/generalny+wykonawca+Ursynow+Warszawa","SZUKAJ: generalny wykonawca Ursynow Warszawa")</f>
        <v/>
      </c>
      <c r="E108" s="21" t="n"/>
      <c r="F108" s="22" t="n"/>
    </row>
    <row r="109">
      <c r="B109" s="23" t="inlineStr">
        <is>
          <t>Agencje nieruchomosci</t>
        </is>
      </c>
      <c r="C109" s="23" t="inlineStr">
        <is>
          <t>Ursynow</t>
        </is>
      </c>
      <c r="D109" s="20">
        <f>HYPERLINK("https://www.google.com/maps/search/agencja+nieruchomosci+Ursynow+Warszawa","SZUKAJ: agencja nieruchomosci Ursynow Warszawa")</f>
        <v/>
      </c>
      <c r="E109" s="21" t="n"/>
      <c r="F109" s="22" t="n"/>
    </row>
    <row r="110">
      <c r="B110" s="23" t="inlineStr">
        <is>
          <t>HR / Duzi pracodawcy</t>
        </is>
      </c>
      <c r="C110" s="23" t="inlineStr">
        <is>
          <t>Ursynow</t>
        </is>
      </c>
      <c r="D110" s="20">
        <f>HYPERLINK("https://www.google.com/maps/search/centrum+logistyczne+Ursynow+Warszawa","SZUKAJ: centrum logistyczne Ursynow Warszawa")</f>
        <v/>
      </c>
      <c r="E110" s="21" t="n"/>
      <c r="F110" s="22" t="n"/>
    </row>
    <row r="111">
      <c r="B111" s="23" t="inlineStr">
        <is>
          <t>HR / Duzi pracodawcy</t>
        </is>
      </c>
      <c r="C111" s="23" t="inlineStr">
        <is>
          <t>Ursynow</t>
        </is>
      </c>
      <c r="D111" s="20">
        <f>HYPERLINK("https://www.google.com/maps/search/hotel+Ursynow+Warszawa","SZUKAJ: hotel Ursynow Warszawa")</f>
        <v/>
      </c>
      <c r="E111" s="21" t="n"/>
      <c r="F111" s="22" t="n"/>
    </row>
    <row r="112">
      <c r="B112" s="23" t="inlineStr">
        <is>
          <t>Zarzadcy nieruchomosci</t>
        </is>
      </c>
      <c r="C112" s="23" t="inlineStr">
        <is>
          <t>Wawer</t>
        </is>
      </c>
      <c r="D112" s="20">
        <f>HYPERLINK("https://www.google.com/maps/search/spoldzielnia+mieszkaniowa+Wawer+Warszawa","SZUKAJ: spoldzielnia mieszkaniowa Wawer Warszawa")</f>
        <v/>
      </c>
      <c r="E112" s="21" t="n"/>
      <c r="F112" s="22" t="n"/>
    </row>
    <row r="113">
      <c r="B113" s="23" t="inlineStr">
        <is>
          <t>Zarzadcy nieruchomosci</t>
        </is>
      </c>
      <c r="C113" s="23" t="inlineStr">
        <is>
          <t>Wawer</t>
        </is>
      </c>
      <c r="D113" s="20">
        <f>HYPERLINK("https://www.google.com/maps/search/wspolnota+mieszkaniowa+Wawer+Warszawa","SZUKAJ: wspolnota mieszkaniowa Wawer Warszawa")</f>
        <v/>
      </c>
      <c r="E113" s="21" t="n"/>
      <c r="F113" s="22" t="n"/>
    </row>
    <row r="114">
      <c r="B114" s="23" t="inlineStr">
        <is>
          <t>Firmy budowlane</t>
        </is>
      </c>
      <c r="C114" s="23" t="inlineStr">
        <is>
          <t>Wawer</t>
        </is>
      </c>
      <c r="D114" s="20">
        <f>HYPERLINK("https://www.google.com/maps/search/deweloper+Wawer+Warszawa","SZUKAJ: deweloper Wawer Warszawa")</f>
        <v/>
      </c>
      <c r="E114" s="21" t="n"/>
      <c r="F114" s="22" t="n"/>
    </row>
    <row r="115">
      <c r="B115" s="23" t="inlineStr">
        <is>
          <t>Firmy budowlane</t>
        </is>
      </c>
      <c r="C115" s="23" t="inlineStr">
        <is>
          <t>Wawer</t>
        </is>
      </c>
      <c r="D115" s="20">
        <f>HYPERLINK("https://www.google.com/maps/search/generalny+wykonawca+Wawer+Warszawa","SZUKAJ: generalny wykonawca Wawer Warszawa")</f>
        <v/>
      </c>
      <c r="E115" s="21" t="n"/>
      <c r="F115" s="22" t="n"/>
    </row>
    <row r="116">
      <c r="B116" s="23" t="inlineStr">
        <is>
          <t>Agencje nieruchomosci</t>
        </is>
      </c>
      <c r="C116" s="23" t="inlineStr">
        <is>
          <t>Wawer</t>
        </is>
      </c>
      <c r="D116" s="20">
        <f>HYPERLINK("https://www.google.com/maps/search/agencja+nieruchomosci+Wawer+Warszawa","SZUKAJ: agencja nieruchomosci Wawer Warszawa")</f>
        <v/>
      </c>
      <c r="E116" s="21" t="n"/>
      <c r="F116" s="22" t="n"/>
    </row>
    <row r="117">
      <c r="B117" s="23" t="inlineStr">
        <is>
          <t>HR / Duzi pracodawcy</t>
        </is>
      </c>
      <c r="C117" s="23" t="inlineStr">
        <is>
          <t>Wawer</t>
        </is>
      </c>
      <c r="D117" s="20">
        <f>HYPERLINK("https://www.google.com/maps/search/centrum+logistyczne+Wawer+Warszawa","SZUKAJ: centrum logistyczne Wawer Warszawa")</f>
        <v/>
      </c>
      <c r="E117" s="21" t="n"/>
      <c r="F117" s="22" t="n"/>
    </row>
    <row r="118">
      <c r="B118" s="23" t="inlineStr">
        <is>
          <t>HR / Duzi pracodawcy</t>
        </is>
      </c>
      <c r="C118" s="23" t="inlineStr">
        <is>
          <t>Wawer</t>
        </is>
      </c>
      <c r="D118" s="20">
        <f>HYPERLINK("https://www.google.com/maps/search/hotel+Wawer+Warszawa","SZUKAJ: hotel Wawer Warszawa")</f>
        <v/>
      </c>
      <c r="E118" s="21" t="n"/>
      <c r="F118" s="22" t="n"/>
    </row>
    <row r="119">
      <c r="B119" s="23" t="inlineStr">
        <is>
          <t>Zarzadcy nieruchomosci</t>
        </is>
      </c>
      <c r="C119" s="23" t="inlineStr">
        <is>
          <t>Wesola</t>
        </is>
      </c>
      <c r="D119" s="20">
        <f>HYPERLINK("https://www.google.com/maps/search/spoldzielnia+mieszkaniowa+Wesola+Warszawa","SZUKAJ: spoldzielnia mieszkaniowa Wesola Warszawa")</f>
        <v/>
      </c>
      <c r="E119" s="21" t="n"/>
      <c r="F119" s="22" t="n"/>
    </row>
    <row r="120">
      <c r="B120" s="23" t="inlineStr">
        <is>
          <t>Zarzadcy nieruchomosci</t>
        </is>
      </c>
      <c r="C120" s="23" t="inlineStr">
        <is>
          <t>Wesola</t>
        </is>
      </c>
      <c r="D120" s="20">
        <f>HYPERLINK("https://www.google.com/maps/search/wspolnota+mieszkaniowa+Wesola+Warszawa","SZUKAJ: wspolnota mieszkaniowa Wesola Warszawa")</f>
        <v/>
      </c>
      <c r="E120" s="21" t="n"/>
      <c r="F120" s="22" t="n"/>
    </row>
    <row r="121">
      <c r="B121" s="23" t="inlineStr">
        <is>
          <t>Firmy budowlane</t>
        </is>
      </c>
      <c r="C121" s="23" t="inlineStr">
        <is>
          <t>Wesola</t>
        </is>
      </c>
      <c r="D121" s="20">
        <f>HYPERLINK("https://www.google.com/maps/search/deweloper+Wesola+Warszawa","SZUKAJ: deweloper Wesola Warszawa")</f>
        <v/>
      </c>
      <c r="E121" s="21" t="n"/>
      <c r="F121" s="22" t="n"/>
    </row>
    <row r="122">
      <c r="B122" s="23" t="inlineStr">
        <is>
          <t>Firmy budowlane</t>
        </is>
      </c>
      <c r="C122" s="23" t="inlineStr">
        <is>
          <t>Wesola</t>
        </is>
      </c>
      <c r="D122" s="20">
        <f>HYPERLINK("https://www.google.com/maps/search/generalny+wykonawca+Wesola+Warszawa","SZUKAJ: generalny wykonawca Wesola Warszawa")</f>
        <v/>
      </c>
      <c r="E122" s="21" t="n"/>
      <c r="F122" s="22" t="n"/>
    </row>
    <row r="123">
      <c r="B123" s="23" t="inlineStr">
        <is>
          <t>Agencje nieruchomosci</t>
        </is>
      </c>
      <c r="C123" s="23" t="inlineStr">
        <is>
          <t>Wesola</t>
        </is>
      </c>
      <c r="D123" s="20">
        <f>HYPERLINK("https://www.google.com/maps/search/agencja+nieruchomosci+Wesola+Warszawa","SZUKAJ: agencja nieruchomosci Wesola Warszawa")</f>
        <v/>
      </c>
      <c r="E123" s="21" t="n"/>
      <c r="F123" s="22" t="n"/>
    </row>
    <row r="124">
      <c r="B124" s="23" t="inlineStr">
        <is>
          <t>HR / Duzi pracodawcy</t>
        </is>
      </c>
      <c r="C124" s="23" t="inlineStr">
        <is>
          <t>Wesola</t>
        </is>
      </c>
      <c r="D124" s="20">
        <f>HYPERLINK("https://www.google.com/maps/search/centrum+logistyczne+Wesola+Warszawa","SZUKAJ: centrum logistyczne Wesola Warszawa")</f>
        <v/>
      </c>
      <c r="E124" s="21" t="n"/>
      <c r="F124" s="22" t="n"/>
    </row>
    <row r="125">
      <c r="B125" s="23" t="inlineStr">
        <is>
          <t>HR / Duzi pracodawcy</t>
        </is>
      </c>
      <c r="C125" s="23" t="inlineStr">
        <is>
          <t>Wesola</t>
        </is>
      </c>
      <c r="D125" s="20">
        <f>HYPERLINK("https://www.google.com/maps/search/hotel+Wesola+Warszawa","SZUKAJ: hotel Wesola Warszawa")</f>
        <v/>
      </c>
      <c r="E125" s="21" t="n"/>
      <c r="F125" s="22" t="n"/>
    </row>
    <row r="126">
      <c r="B126" s="23" t="inlineStr">
        <is>
          <t>Zarzadcy nieruchomosci</t>
        </is>
      </c>
      <c r="C126" s="23" t="inlineStr">
        <is>
          <t>Wilanow</t>
        </is>
      </c>
      <c r="D126" s="20">
        <f>HYPERLINK("https://www.google.com/maps/search/spoldzielnia+mieszkaniowa+Wilanow+Warszawa","SZUKAJ: spoldzielnia mieszkaniowa Wilanow Warszawa")</f>
        <v/>
      </c>
      <c r="E126" s="21" t="n"/>
      <c r="F126" s="22" t="n"/>
    </row>
    <row r="127">
      <c r="B127" s="23" t="inlineStr">
        <is>
          <t>Zarzadcy nieruchomosci</t>
        </is>
      </c>
      <c r="C127" s="23" t="inlineStr">
        <is>
          <t>Wilanow</t>
        </is>
      </c>
      <c r="D127" s="20">
        <f>HYPERLINK("https://www.google.com/maps/search/wspolnota+mieszkaniowa+Wilanow+Warszawa","SZUKAJ: wspolnota mieszkaniowa Wilanow Warszawa")</f>
        <v/>
      </c>
      <c r="E127" s="21" t="n"/>
      <c r="F127" s="22" t="n"/>
    </row>
    <row r="128">
      <c r="B128" s="23" t="inlineStr">
        <is>
          <t>Firmy budowlane</t>
        </is>
      </c>
      <c r="C128" s="23" t="inlineStr">
        <is>
          <t>Wilanow</t>
        </is>
      </c>
      <c r="D128" s="20">
        <f>HYPERLINK("https://www.google.com/maps/search/deweloper+Wilanow+Warszawa","SZUKAJ: deweloper Wilanow Warszawa")</f>
        <v/>
      </c>
      <c r="E128" s="21" t="n"/>
      <c r="F128" s="22" t="n"/>
    </row>
    <row r="129">
      <c r="B129" s="23" t="inlineStr">
        <is>
          <t>Firmy budowlane</t>
        </is>
      </c>
      <c r="C129" s="23" t="inlineStr">
        <is>
          <t>Wilanow</t>
        </is>
      </c>
      <c r="D129" s="20">
        <f>HYPERLINK("https://www.google.com/maps/search/generalny+wykonawca+Wilanow+Warszawa","SZUKAJ: generalny wykonawca Wilanow Warszawa")</f>
        <v/>
      </c>
      <c r="E129" s="21" t="n"/>
      <c r="F129" s="22" t="n"/>
    </row>
    <row r="130">
      <c r="B130" s="23" t="inlineStr">
        <is>
          <t>Agencje nieruchomosci</t>
        </is>
      </c>
      <c r="C130" s="23" t="inlineStr">
        <is>
          <t>Wilanow</t>
        </is>
      </c>
      <c r="D130" s="20">
        <f>HYPERLINK("https://www.google.com/maps/search/agencja+nieruchomosci+Wilanow+Warszawa","SZUKAJ: agencja nieruchomosci Wilanow Warszawa")</f>
        <v/>
      </c>
      <c r="E130" s="21" t="n"/>
      <c r="F130" s="22" t="n"/>
    </row>
    <row r="131">
      <c r="B131" s="23" t="inlineStr">
        <is>
          <t>HR / Duzi pracodawcy</t>
        </is>
      </c>
      <c r="C131" s="23" t="inlineStr">
        <is>
          <t>Wilanow</t>
        </is>
      </c>
      <c r="D131" s="20">
        <f>HYPERLINK("https://www.google.com/maps/search/centrum+logistyczne+Wilanow+Warszawa","SZUKAJ: centrum logistyczne Wilanow Warszawa")</f>
        <v/>
      </c>
      <c r="E131" s="21" t="n"/>
      <c r="F131" s="22" t="n"/>
    </row>
    <row r="132">
      <c r="B132" s="23" t="inlineStr">
        <is>
          <t>HR / Duzi pracodawcy</t>
        </is>
      </c>
      <c r="C132" s="23" t="inlineStr">
        <is>
          <t>Wilanow</t>
        </is>
      </c>
      <c r="D132" s="20">
        <f>HYPERLINK("https://www.google.com/maps/search/hotel+Wilanow+Warszawa","SZUKAJ: hotel Wilanow Warszawa")</f>
        <v/>
      </c>
      <c r="E132" s="21" t="n"/>
      <c r="F132" s="22" t="n"/>
    </row>
    <row r="133">
      <c r="B133" s="23" t="inlineStr">
        <is>
          <t>Zarzadcy nieruchomosci</t>
        </is>
      </c>
      <c r="C133" s="23" t="inlineStr">
        <is>
          <t>Wlochy</t>
        </is>
      </c>
      <c r="D133" s="20">
        <f>HYPERLINK("https://www.google.com/maps/search/spoldzielnia+mieszkaniowa+Wlochy+Warszawa","SZUKAJ: spoldzielnia mieszkaniowa Wlochy Warszawa")</f>
        <v/>
      </c>
      <c r="E133" s="21" t="n"/>
      <c r="F133" s="22" t="n"/>
    </row>
    <row r="134">
      <c r="B134" s="23" t="inlineStr">
        <is>
          <t>Zarzadcy nieruchomosci</t>
        </is>
      </c>
      <c r="C134" s="23" t="inlineStr">
        <is>
          <t>Wlochy</t>
        </is>
      </c>
      <c r="D134" s="20">
        <f>HYPERLINK("https://www.google.com/maps/search/wspolnota+mieszkaniowa+Wlochy+Warszawa","SZUKAJ: wspolnota mieszkaniowa Wlochy Warszawa")</f>
        <v/>
      </c>
      <c r="E134" s="21" t="n"/>
      <c r="F134" s="22" t="n"/>
    </row>
    <row r="135">
      <c r="B135" s="23" t="inlineStr">
        <is>
          <t>Firmy budowlane</t>
        </is>
      </c>
      <c r="C135" s="23" t="inlineStr">
        <is>
          <t>Wlochy</t>
        </is>
      </c>
      <c r="D135" s="20">
        <f>HYPERLINK("https://www.google.com/maps/search/deweloper+Wlochy+Warszawa","SZUKAJ: deweloper Wlochy Warszawa")</f>
        <v/>
      </c>
      <c r="E135" s="21" t="n"/>
      <c r="F135" s="22" t="n"/>
    </row>
    <row r="136">
      <c r="B136" s="23" t="inlineStr">
        <is>
          <t>Firmy budowlane</t>
        </is>
      </c>
      <c r="C136" s="23" t="inlineStr">
        <is>
          <t>Wlochy</t>
        </is>
      </c>
      <c r="D136" s="20">
        <f>HYPERLINK("https://www.google.com/maps/search/generalny+wykonawca+Wlochy+Warszawa","SZUKAJ: generalny wykonawca Wlochy Warszawa")</f>
        <v/>
      </c>
      <c r="E136" s="21" t="n"/>
      <c r="F136" s="22" t="n"/>
    </row>
    <row r="137">
      <c r="B137" s="23" t="inlineStr">
        <is>
          <t>Agencje nieruchomosci</t>
        </is>
      </c>
      <c r="C137" s="23" t="inlineStr">
        <is>
          <t>Wlochy</t>
        </is>
      </c>
      <c r="D137" s="20">
        <f>HYPERLINK("https://www.google.com/maps/search/agencja+nieruchomosci+Wlochy+Warszawa","SZUKAJ: agencja nieruchomosci Wlochy Warszawa")</f>
        <v/>
      </c>
      <c r="E137" s="21" t="n"/>
      <c r="F137" s="22" t="n"/>
    </row>
    <row r="138">
      <c r="B138" s="23" t="inlineStr">
        <is>
          <t>HR / Duzi pracodawcy</t>
        </is>
      </c>
      <c r="C138" s="23" t="inlineStr">
        <is>
          <t>Wlochy</t>
        </is>
      </c>
      <c r="D138" s="20">
        <f>HYPERLINK("https://www.google.com/maps/search/centrum+logistyczne+Wlochy+Warszawa","SZUKAJ: centrum logistyczne Wlochy Warszawa")</f>
        <v/>
      </c>
      <c r="E138" s="21" t="n"/>
      <c r="F138" s="22" t="n"/>
    </row>
    <row r="139">
      <c r="B139" s="23" t="inlineStr">
        <is>
          <t>HR / Duzi pracodawcy</t>
        </is>
      </c>
      <c r="C139" s="23" t="inlineStr">
        <is>
          <t>Wlochy</t>
        </is>
      </c>
      <c r="D139" s="20">
        <f>HYPERLINK("https://www.google.com/maps/search/hotel+Wlochy+Warszawa","SZUKAJ: hotel Wlochy Warszawa")</f>
        <v/>
      </c>
      <c r="E139" s="21" t="n"/>
      <c r="F139" s="22" t="n"/>
    </row>
    <row r="140">
      <c r="B140" s="23" t="inlineStr">
        <is>
          <t>Zarzadcy nieruchomosci</t>
        </is>
      </c>
      <c r="C140" s="23" t="inlineStr">
        <is>
          <t>Wola</t>
        </is>
      </c>
      <c r="D140" s="20">
        <f>HYPERLINK("https://www.google.com/maps/search/spoldzielnia+mieszkaniowa+Wola+Warszawa","SZUKAJ: spoldzielnia mieszkaniowa Wola Warszawa")</f>
        <v/>
      </c>
      <c r="E140" s="21" t="n"/>
      <c r="F140" s="22" t="n"/>
    </row>
    <row r="141">
      <c r="B141" s="23" t="inlineStr">
        <is>
          <t>Zarzadcy nieruchomosci</t>
        </is>
      </c>
      <c r="C141" s="23" t="inlineStr">
        <is>
          <t>Wola</t>
        </is>
      </c>
      <c r="D141" s="20">
        <f>HYPERLINK("https://www.google.com/maps/search/wspolnota+mieszkaniowa+Wola+Warszawa","SZUKAJ: wspolnota mieszkaniowa Wola Warszawa")</f>
        <v/>
      </c>
      <c r="E141" s="21" t="n"/>
      <c r="F141" s="22" t="n"/>
    </row>
    <row r="142">
      <c r="B142" s="23" t="inlineStr">
        <is>
          <t>Firmy budowlane</t>
        </is>
      </c>
      <c r="C142" s="23" t="inlineStr">
        <is>
          <t>Wola</t>
        </is>
      </c>
      <c r="D142" s="20">
        <f>HYPERLINK("https://www.google.com/maps/search/deweloper+Wola+Warszawa","SZUKAJ: deweloper Wola Warszawa")</f>
        <v/>
      </c>
      <c r="E142" s="21" t="n"/>
      <c r="F142" s="22" t="n"/>
    </row>
    <row r="143">
      <c r="B143" s="23" t="inlineStr">
        <is>
          <t>Firmy budowlane</t>
        </is>
      </c>
      <c r="C143" s="23" t="inlineStr">
        <is>
          <t>Wola</t>
        </is>
      </c>
      <c r="D143" s="20">
        <f>HYPERLINK("https://www.google.com/maps/search/generalny+wykonawca+Wola+Warszawa","SZUKAJ: generalny wykonawca Wola Warszawa")</f>
        <v/>
      </c>
      <c r="E143" s="21" t="n"/>
      <c r="F143" s="22" t="n"/>
    </row>
    <row r="144">
      <c r="B144" s="23" t="inlineStr">
        <is>
          <t>Agencje nieruchomosci</t>
        </is>
      </c>
      <c r="C144" s="23" t="inlineStr">
        <is>
          <t>Wola</t>
        </is>
      </c>
      <c r="D144" s="20">
        <f>HYPERLINK("https://www.google.com/maps/search/agencja+nieruchomosci+Wola+Warszawa","SZUKAJ: agencja nieruchomosci Wola Warszawa")</f>
        <v/>
      </c>
      <c r="E144" s="21" t="n"/>
      <c r="F144" s="22" t="n"/>
    </row>
    <row r="145">
      <c r="B145" s="23" t="inlineStr">
        <is>
          <t>HR / Duzi pracodawcy</t>
        </is>
      </c>
      <c r="C145" s="23" t="inlineStr">
        <is>
          <t>Wola</t>
        </is>
      </c>
      <c r="D145" s="20">
        <f>HYPERLINK("https://www.google.com/maps/search/centrum+logistyczne+Wola+Warszawa","SZUKAJ: centrum logistyczne Wola Warszawa")</f>
        <v/>
      </c>
      <c r="E145" s="21" t="n"/>
      <c r="F145" s="22" t="n"/>
    </row>
    <row r="146">
      <c r="B146" s="23" t="inlineStr">
        <is>
          <t>HR / Duzi pracodawcy</t>
        </is>
      </c>
      <c r="C146" s="23" t="inlineStr">
        <is>
          <t>Wola</t>
        </is>
      </c>
      <c r="D146" s="20">
        <f>HYPERLINK("https://www.google.com/maps/search/hotel+Wola+Warszawa","SZUKAJ: hotel Wola Warszawa")</f>
        <v/>
      </c>
      <c r="E146" s="21" t="n"/>
      <c r="F146" s="22" t="n"/>
    </row>
    <row r="147">
      <c r="B147" s="23" t="inlineStr">
        <is>
          <t>Zarzadcy nieruchomosci</t>
        </is>
      </c>
      <c r="C147" s="23" t="inlineStr">
        <is>
          <t>Zoliborz</t>
        </is>
      </c>
      <c r="D147" s="20">
        <f>HYPERLINK("https://www.google.com/maps/search/spoldzielnia+mieszkaniowa+Zoliborz+Warszawa","SZUKAJ: spoldzielnia mieszkaniowa Zoliborz Warszawa")</f>
        <v/>
      </c>
      <c r="E147" s="21" t="n"/>
      <c r="F147" s="22" t="n"/>
    </row>
    <row r="148">
      <c r="B148" s="23" t="inlineStr">
        <is>
          <t>Zarzadcy nieruchomosci</t>
        </is>
      </c>
      <c r="C148" s="23" t="inlineStr">
        <is>
          <t>Zoliborz</t>
        </is>
      </c>
      <c r="D148" s="20">
        <f>HYPERLINK("https://www.google.com/maps/search/wspolnota+mieszkaniowa+Zoliborz+Warszawa","SZUKAJ: wspolnota mieszkaniowa Zoliborz Warszawa")</f>
        <v/>
      </c>
      <c r="E148" s="21" t="n"/>
      <c r="F148" s="22" t="n"/>
    </row>
    <row r="149">
      <c r="B149" s="23" t="inlineStr">
        <is>
          <t>Firmy budowlane</t>
        </is>
      </c>
      <c r="C149" s="23" t="inlineStr">
        <is>
          <t>Zoliborz</t>
        </is>
      </c>
      <c r="D149" s="20">
        <f>HYPERLINK("https://www.google.com/maps/search/deweloper+Zoliborz+Warszawa","SZUKAJ: deweloper Zoliborz Warszawa")</f>
        <v/>
      </c>
      <c r="E149" s="21" t="n"/>
      <c r="F149" s="22" t="n"/>
    </row>
    <row r="150">
      <c r="B150" s="23" t="inlineStr">
        <is>
          <t>Firmy budowlane</t>
        </is>
      </c>
      <c r="C150" s="23" t="inlineStr">
        <is>
          <t>Zoliborz</t>
        </is>
      </c>
      <c r="D150" s="20">
        <f>HYPERLINK("https://www.google.com/maps/search/generalny+wykonawca+Zoliborz+Warszawa","SZUKAJ: generalny wykonawca Zoliborz Warszawa")</f>
        <v/>
      </c>
      <c r="E150" s="21" t="n"/>
      <c r="F150" s="22" t="n"/>
    </row>
    <row r="151">
      <c r="B151" s="23" t="inlineStr">
        <is>
          <t>Agencje nieruchomosci</t>
        </is>
      </c>
      <c r="C151" s="23" t="inlineStr">
        <is>
          <t>Zoliborz</t>
        </is>
      </c>
      <c r="D151" s="20">
        <f>HYPERLINK("https://www.google.com/maps/search/agencja+nieruchomosci+Zoliborz+Warszawa","SZUKAJ: agencja nieruchomosci Zoliborz Warszawa")</f>
        <v/>
      </c>
      <c r="E151" s="21" t="n"/>
      <c r="F151" s="22" t="n"/>
    </row>
    <row r="152">
      <c r="B152" s="23" t="inlineStr">
        <is>
          <t>HR / Duzi pracodawcy</t>
        </is>
      </c>
      <c r="C152" s="23" t="inlineStr">
        <is>
          <t>Zoliborz</t>
        </is>
      </c>
      <c r="D152" s="20">
        <f>HYPERLINK("https://www.google.com/maps/search/centrum+logistyczne+Zoliborz+Warszawa","SZUKAJ: centrum logistyczne Zoliborz Warszawa")</f>
        <v/>
      </c>
      <c r="E152" s="21" t="n"/>
      <c r="F152" s="22" t="n"/>
    </row>
    <row r="153">
      <c r="B153" s="23" t="inlineStr">
        <is>
          <t>HR / Duzi pracodawcy</t>
        </is>
      </c>
      <c r="C153" s="23" t="inlineStr">
        <is>
          <t>Zoliborz</t>
        </is>
      </c>
      <c r="D153" s="20">
        <f>HYPERLINK("https://www.google.com/maps/search/hotel+Zoliborz+Warszawa","SZUKAJ: hotel Zoliborz Warszawa")</f>
        <v/>
      </c>
      <c r="E153" s="21" t="n"/>
      <c r="F153" s="22" t="n"/>
    </row>
  </sheetData>
  <mergeCells count="128">
    <mergeCell ref="D76:F76"/>
    <mergeCell ref="D116:F116"/>
    <mergeCell ref="D66:F66"/>
    <mergeCell ref="D75:F75"/>
    <mergeCell ref="D53:F53"/>
    <mergeCell ref="D47:F47"/>
    <mergeCell ref="D28:F28"/>
    <mergeCell ref="D37:F37"/>
    <mergeCell ref="D102:F102"/>
    <mergeCell ref="D143:F143"/>
    <mergeCell ref="D92:F92"/>
    <mergeCell ref="D30:F30"/>
    <mergeCell ref="D152:F152"/>
    <mergeCell ref="D39:F39"/>
    <mergeCell ref="D133:F133"/>
    <mergeCell ref="D29:F29"/>
    <mergeCell ref="D142:F142"/>
    <mergeCell ref="D94:F94"/>
    <mergeCell ref="D129:F129"/>
    <mergeCell ref="D144:F144"/>
    <mergeCell ref="D119:F119"/>
    <mergeCell ref="D128:F128"/>
    <mergeCell ref="D80:F80"/>
    <mergeCell ref="D96:F96"/>
    <mergeCell ref="D105:F105"/>
    <mergeCell ref="D57:F57"/>
    <mergeCell ref="D27:F27"/>
    <mergeCell ref="D120:F120"/>
    <mergeCell ref="D41:F41"/>
    <mergeCell ref="D107:F107"/>
    <mergeCell ref="D91:F91"/>
    <mergeCell ref="D147:F147"/>
    <mergeCell ref="D43:F43"/>
    <mergeCell ref="D106:F106"/>
    <mergeCell ref="D137:F137"/>
    <mergeCell ref="D146:F146"/>
    <mergeCell ref="D93:F93"/>
    <mergeCell ref="D74:F74"/>
    <mergeCell ref="D130:F130"/>
    <mergeCell ref="D68:F68"/>
    <mergeCell ref="D83:F83"/>
    <mergeCell ref="D117:F117"/>
    <mergeCell ref="D55:F55"/>
    <mergeCell ref="D67:F67"/>
    <mergeCell ref="D132:F132"/>
    <mergeCell ref="D110:F110"/>
    <mergeCell ref="D85:F85"/>
    <mergeCell ref="D54:F54"/>
    <mergeCell ref="D60:F60"/>
    <mergeCell ref="D69:F69"/>
    <mergeCell ref="D100:F100"/>
    <mergeCell ref="D109:F109"/>
    <mergeCell ref="D31:F31"/>
    <mergeCell ref="D46:F46"/>
    <mergeCell ref="D40:F40"/>
    <mergeCell ref="D111:F111"/>
    <mergeCell ref="D108:F108"/>
    <mergeCell ref="D86:F86"/>
    <mergeCell ref="D95:F95"/>
    <mergeCell ref="D104:F104"/>
    <mergeCell ref="D136:F136"/>
    <mergeCell ref="D150:F150"/>
    <mergeCell ref="D32:F32"/>
    <mergeCell ref="D145:F145"/>
    <mergeCell ref="D97:F97"/>
    <mergeCell ref="D78:F78"/>
    <mergeCell ref="D87:F87"/>
    <mergeCell ref="D122:F122"/>
    <mergeCell ref="D71:F71"/>
    <mergeCell ref="D58:F58"/>
    <mergeCell ref="D121:F121"/>
    <mergeCell ref="D33:F33"/>
    <mergeCell ref="D73:F73"/>
    <mergeCell ref="D42:F42"/>
    <mergeCell ref="D51:F51"/>
    <mergeCell ref="D82:F82"/>
    <mergeCell ref="D113:F113"/>
    <mergeCell ref="D148:F148"/>
    <mergeCell ref="D123:F123"/>
    <mergeCell ref="D35:F35"/>
    <mergeCell ref="D50:F50"/>
    <mergeCell ref="D44:F44"/>
    <mergeCell ref="D59:F59"/>
    <mergeCell ref="D115:F115"/>
    <mergeCell ref="D138:F138"/>
    <mergeCell ref="D34:F34"/>
    <mergeCell ref="D99:F99"/>
    <mergeCell ref="D84:F84"/>
    <mergeCell ref="D140:F140"/>
    <mergeCell ref="D36:F36"/>
    <mergeCell ref="D149:F149"/>
    <mergeCell ref="D45:F45"/>
    <mergeCell ref="D101:F101"/>
    <mergeCell ref="D124:F124"/>
    <mergeCell ref="D77:F77"/>
    <mergeCell ref="D151:F151"/>
    <mergeCell ref="D61:F61"/>
    <mergeCell ref="D126:F126"/>
    <mergeCell ref="D141:F141"/>
    <mergeCell ref="D70:F70"/>
    <mergeCell ref="D135:F135"/>
    <mergeCell ref="D48:F48"/>
    <mergeCell ref="D125:F125"/>
    <mergeCell ref="D72:F72"/>
    <mergeCell ref="D103:F103"/>
    <mergeCell ref="D134:F134"/>
    <mergeCell ref="D112:F112"/>
    <mergeCell ref="D62:F62"/>
    <mergeCell ref="D118:F118"/>
    <mergeCell ref="D56:F56"/>
    <mergeCell ref="D127:F127"/>
    <mergeCell ref="D114:F114"/>
    <mergeCell ref="D64:F64"/>
    <mergeCell ref="D38:F38"/>
    <mergeCell ref="D89:F89"/>
    <mergeCell ref="D98:F98"/>
    <mergeCell ref="D79:F79"/>
    <mergeCell ref="D88:F88"/>
    <mergeCell ref="D153:F153"/>
    <mergeCell ref="D63:F63"/>
    <mergeCell ref="D81:F81"/>
    <mergeCell ref="D90:F90"/>
    <mergeCell ref="D65:F65"/>
    <mergeCell ref="D131:F131"/>
    <mergeCell ref="D139:F139"/>
    <mergeCell ref="D52:F52"/>
    <mergeCell ref="B26:F26"/>
    <mergeCell ref="D49:F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75" customWidth="1" min="4" max="4"/>
  </cols>
  <sheetData>
    <row r="2">
      <c r="B2" s="14" t="inlineStr">
        <is>
          <t>Rhythm dnia - typowy dzien 8h (Pon-Pt)</t>
        </is>
      </c>
    </row>
    <row r="4">
      <c r="B4" s="8" t="inlineStr">
        <is>
          <t>Godzina</t>
        </is>
      </c>
      <c r="C4" s="8" t="inlineStr">
        <is>
          <t>Co robisz</t>
        </is>
      </c>
      <c r="D4" s="8" t="inlineStr">
        <is>
          <t>Cel</t>
        </is>
      </c>
    </row>
    <row r="5" ht="36" customHeight="1">
      <c r="B5" s="24" t="inlineStr">
        <is>
          <t>9:00 - 9:15</t>
        </is>
      </c>
      <c r="C5" s="25" t="inlineStr">
        <is>
          <t>Kawa, przeglad CRM-a</t>
        </is>
      </c>
      <c r="D5" s="11" t="inlineStr">
        <is>
          <t>Filtruj [Lista firm] po kolumnie [Data follow-up] - najstarsze na gore</t>
        </is>
      </c>
    </row>
    <row r="6" ht="36" customHeight="1">
      <c r="B6" s="24" t="inlineStr">
        <is>
          <t>9:15 - 10:30</t>
        </is>
      </c>
      <c r="C6" s="25" t="inlineStr">
        <is>
          <t>Blok 1: 8-10 rozmow</t>
        </is>
      </c>
      <c r="D6" s="11" t="inlineStr">
        <is>
          <t>Rano = Zarzadcy nieruchomosci (najlepiej odbieraja)</t>
        </is>
      </c>
    </row>
    <row r="7" ht="36" customHeight="1">
      <c r="B7" s="24" t="inlineStr">
        <is>
          <t>10:30 - 10:45</t>
        </is>
      </c>
      <c r="C7" s="25" t="inlineStr">
        <is>
          <t>Przerwa - spacer, woda</t>
        </is>
      </c>
      <c r="D7" s="11" t="inlineStr">
        <is>
          <t>Zapisz notatki z ostatnich 3 rozmow ZANIM zapomnisz</t>
        </is>
      </c>
    </row>
    <row r="8" ht="36" customHeight="1">
      <c r="B8" s="24" t="inlineStr">
        <is>
          <t>10:45 - 12:00</t>
        </is>
      </c>
      <c r="C8" s="25" t="inlineStr">
        <is>
          <t>Blok 2: 8-10 rozmow</t>
        </is>
      </c>
      <c r="D8" s="11" t="inlineStr">
        <is>
          <t>Firmy budowlane (kierownik budowy w biurze)</t>
        </is>
      </c>
    </row>
    <row r="9" ht="36" customHeight="1">
      <c r="B9" s="24" t="inlineStr">
        <is>
          <t>12:00 - 13:00</t>
        </is>
      </c>
      <c r="C9" s="25" t="inlineStr">
        <is>
          <t>Lunch</t>
        </is>
      </c>
      <c r="D9" s="11" t="inlineStr">
        <is>
          <t>Nie dzwon w czasie lunchu - inni tez jedza</t>
        </is>
      </c>
    </row>
    <row r="10" ht="36" customHeight="1">
      <c r="B10" s="24" t="inlineStr">
        <is>
          <t>13:00 - 14:30</t>
        </is>
      </c>
      <c r="C10" s="25" t="inlineStr">
        <is>
          <t>Blok 3: 6-8 rozmow</t>
        </is>
      </c>
      <c r="D10" s="11" t="inlineStr">
        <is>
          <t>Agencje nieruchomosci LUB HR (wtorek / sroda / czwartek)</t>
        </is>
      </c>
    </row>
    <row r="11" ht="36" customHeight="1">
      <c r="B11" s="24" t="inlineStr">
        <is>
          <t>14:30 - 15:00</t>
        </is>
      </c>
      <c r="C11" s="25" t="inlineStr">
        <is>
          <t>Follow-up</t>
        </is>
      </c>
      <c r="D11" s="11" t="inlineStr">
        <is>
          <t>Wyslij SMS-y z szablonow (patrz reklama/29-lista-firm-do-dzwonienia.md)</t>
        </is>
      </c>
    </row>
    <row r="12" ht="36" customHeight="1">
      <c r="B12" s="24" t="inlineStr">
        <is>
          <t>15:00 - 16:00</t>
        </is>
      </c>
      <c r="C12" s="25" t="inlineStr">
        <is>
          <t>Research nowych firm</t>
        </is>
      </c>
      <c r="D12" s="11" t="inlineStr">
        <is>
          <t>Arkusz [Google Maps Warszawa] - dodaj 10-20 firm na jutro</t>
        </is>
      </c>
    </row>
    <row r="15">
      <c r="B15" s="3" t="inlineStr">
        <is>
          <t>Target tygodniowy (realny)</t>
        </is>
      </c>
    </row>
    <row r="16" ht="28" customHeight="1">
      <c r="B16" s="26" t="inlineStr">
        <is>
          <t>100-120</t>
        </is>
      </c>
      <c r="C16" s="25" t="inlineStr">
        <is>
          <t>Rozmow w tygodniu (20-25 / dzien)</t>
        </is>
      </c>
      <c r="D16" s="27" t="inlineStr">
        <is>
          <t>Nie wiecej - zmeczenie glosu = zly vibe rozmowy</t>
        </is>
      </c>
    </row>
    <row r="17" ht="28" customHeight="1">
      <c r="B17" s="26" t="inlineStr">
        <is>
          <t>30-36</t>
        </is>
      </c>
      <c r="C17" s="25" t="inlineStr">
        <is>
          <t>Rozmow z decydentem (konwersja 30%)</t>
        </is>
      </c>
      <c r="D17" s="27" t="inlineStr">
        <is>
          <t>Reszta: sekretariat, brak odbioru, nieprawidlowy numer</t>
        </is>
      </c>
    </row>
    <row r="18" ht="28" customHeight="1">
      <c r="B18" s="26" t="inlineStr">
        <is>
          <t>15-18</t>
        </is>
      </c>
      <c r="C18" s="25" t="inlineStr">
        <is>
          <t>Osob slucha do konca (50% z decydentow)</t>
        </is>
      </c>
      <c r="D18" s="27" t="inlineStr">
        <is>
          <t>To sa twoje realne szanse sprzedazowe</t>
        </is>
      </c>
    </row>
    <row r="19" ht="28" customHeight="1">
      <c r="B19" s="26" t="inlineStr">
        <is>
          <t>5-6</t>
        </is>
      </c>
      <c r="C19" s="25" t="inlineStr">
        <is>
          <t>Nowych firm rejestruje sie (30% z sluchaczy)</t>
        </is>
      </c>
      <c r="D19" s="27" t="inlineStr">
        <is>
          <t>Tydzien sukcesu - 20+ / miesiac z telefonow</t>
        </is>
      </c>
    </row>
  </sheetData>
  <mergeCells count="1">
    <mergeCell ref="B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95" customWidth="1" min="3" max="3"/>
  </cols>
  <sheetData>
    <row r="2">
      <c r="B2" s="14" t="inlineStr">
        <is>
          <t>Pre-flight checklist - zanim zadzwonisz pierwszy raz</t>
        </is>
      </c>
    </row>
    <row r="3">
      <c r="B3" s="2" t="inlineStr">
        <is>
          <t>Nie dzwonisz dopoki wszystko ponizej nie jest zafajkowane. Spali sie pierwsza rozmowa.</t>
        </is>
      </c>
    </row>
    <row r="5" ht="30" customHeight="1">
      <c r="B5" s="28" t="inlineStr">
        <is>
          <t>[  ]</t>
        </is>
      </c>
      <c r="C5" s="29" t="inlineStr">
        <is>
          <t>Mam liste 50+ firm w arkuszu [Lista firm] (segment 1 lub 1+2)</t>
        </is>
      </c>
    </row>
    <row r="6" ht="30" customHeight="1">
      <c r="B6" s="28" t="inlineStr">
        <is>
          <t>[  ]</t>
        </is>
      </c>
      <c r="C6" s="29" t="inlineStr">
        <is>
          <t>Kazda ZIELONA firma ma telefon, adres, 1-zdaniowa notatke z researchu (kolumna S)</t>
        </is>
      </c>
    </row>
    <row r="7" ht="30" customHeight="1">
      <c r="B7" s="28" t="inlineStr">
        <is>
          <t>[  ]</t>
        </is>
      </c>
      <c r="C7" s="29" t="inlineStr">
        <is>
          <t>Kazda ZIELONA firma ma - jesli znalazlem - imie osoby kontaktowej (kolumna K)</t>
        </is>
      </c>
    </row>
    <row r="8" ht="30" customHeight="1">
      <c r="B8" s="28" t="inlineStr">
        <is>
          <t>[  ]</t>
        </is>
      </c>
      <c r="C8" s="29" t="inlineStr">
        <is>
          <t>Mam wydrukowany scenariusz rozmowy (reklama/27-scenariusz-rozmowy-telefonicznej.md)</t>
        </is>
      </c>
    </row>
    <row r="9" ht="30" customHeight="1">
      <c r="B9" s="28" t="inlineStr">
        <is>
          <t>[  ]</t>
        </is>
      </c>
      <c r="C9" s="29" t="inlineStr">
        <is>
          <t>Mam wydrukowana liste obiekcji (reklama/28-obsluga-obiekcji-telefon.md) OBOK telefonu</t>
        </is>
      </c>
    </row>
    <row r="10" ht="30" customHeight="1">
      <c r="B10" s="28" t="inlineStr">
        <is>
          <t>[  ]</t>
        </is>
      </c>
      <c r="C10" s="29" t="inlineStr">
        <is>
          <t>Mam gotowe 5 szablonow SMS po rozmowie (reklama/29-lista-firm-do-dzwonienia.md)</t>
        </is>
      </c>
    </row>
    <row r="11" ht="30" customHeight="1">
      <c r="B11" s="28" t="inlineStr">
        <is>
          <t>[  ]</t>
        </is>
      </c>
      <c r="C11" s="29" t="inlineStr">
        <is>
          <t>Mam gotowy szablon maila po rozmowie (reklama/20-email-onboarding.md)</t>
        </is>
      </c>
    </row>
    <row r="12" ht="30" customHeight="1">
      <c r="B12" s="28" t="inlineStr">
        <is>
          <t>[  ]</t>
        </is>
      </c>
      <c r="C12" s="29" t="inlineStr">
        <is>
          <t>Wylaczone powiadomienia - telefon, laptop, Slack, cokolwiek co moze brzeknac</t>
        </is>
      </c>
    </row>
    <row r="13" ht="30" customHeight="1">
      <c r="B13" s="28" t="inlineStr">
        <is>
          <t>[  ]</t>
        </is>
      </c>
      <c r="C13" s="29" t="inlineStr">
        <is>
          <t>Stoje lub siedze wyprostowany (sylwetka = glos = wiarygodnosc)</t>
        </is>
      </c>
    </row>
    <row r="14" ht="30" customHeight="1">
      <c r="B14" s="28" t="inlineStr">
        <is>
          <t>[  ]</t>
        </is>
      </c>
      <c r="C14" s="29" t="inlineStr">
        <is>
          <t>Obok mam wode i notatnik (papierowy - szybciej niz wpisywanie do Excela w trakcie)</t>
        </is>
      </c>
    </row>
    <row r="15" ht="30" customHeight="1">
      <c r="B15" s="28" t="inlineStr">
        <is>
          <t>[  ]</t>
        </is>
      </c>
      <c r="C15" s="29" t="inlineStr">
        <is>
          <t>Zrobilem 5 min rozgrzewki glosu (zaspiewac abc, otworzyc szczeke, spacer)</t>
        </is>
      </c>
    </row>
    <row r="16" ht="30" customHeight="1">
      <c r="B16" s="28" t="inlineStr">
        <is>
          <t>[  ]</t>
        </is>
      </c>
      <c r="C16" s="29" t="inlineStr">
        <is>
          <t>Wiem ze pierwszy telefon bedzie NAJTRUDNIEJSZY - po 5. juz idzie plynnie</t>
        </is>
      </c>
    </row>
    <row r="19">
      <c r="B19" s="30" t="inlineStr">
        <is>
          <t>!</t>
        </is>
      </c>
      <c r="C19" s="31" t="inlineStr">
        <is>
          <t>Zasada: dzien 1 = 10 telefonow z ZIELONYCH. Nie cala lista. Nie 50 naraz. 10. Zmierz czas. Zapisz notatki. Jutro 15. Piatego dnia masz juz flow.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8" customWidth="1" min="3" max="3"/>
    <col width="52" customWidth="1" min="4" max="4"/>
  </cols>
  <sheetData>
    <row r="2">
      <c r="B2" s="14" t="inlineStr">
        <is>
          <t>Metryki - auto-liczone z arkusza [Lista firm]</t>
        </is>
      </c>
    </row>
    <row r="3">
      <c r="B3" s="2" t="inlineStr">
        <is>
          <t>Formuly zliczaja sie same. Wypelnij Lista firm, wroc tutaj, zobacz progres.</t>
        </is>
      </c>
    </row>
    <row r="5">
      <c r="B5" s="3" t="inlineStr">
        <is>
          <t>Lejek sprzedazy - aktualny stan</t>
        </is>
      </c>
    </row>
    <row r="6" ht="26" customHeight="1">
      <c r="B6" s="25" t="inlineStr">
        <is>
          <t>Firmy w bazie (lacznie)</t>
        </is>
      </c>
      <c r="C6" s="32">
        <f>COUNTA('Lista firm'!C2:C301)</f>
        <v/>
      </c>
      <c r="D6" s="27" t="inlineStr">
        <is>
          <t>Ile firm w ogole masz w CRM</t>
        </is>
      </c>
    </row>
    <row r="7" ht="26" customHeight="1">
      <c r="B7" s="25" t="inlineStr">
        <is>
          <t>Z czego TOP (zielony)</t>
        </is>
      </c>
      <c r="C7" s="32">
        <f>COUNTIF('Lista firm'!E2:E301,"TOP (zielony)")</f>
        <v/>
      </c>
      <c r="D7" s="27" t="inlineStr">
        <is>
          <t>Do tych dzwonisz jako pierwsze</t>
        </is>
      </c>
    </row>
    <row r="8" ht="26" customHeight="1">
      <c r="B8" s="25" t="inlineStr">
        <is>
          <t>Z czego Sredni (zolty)</t>
        </is>
      </c>
      <c r="C8" s="32">
        <f>COUNTIF('Lista firm'!E2:E301,"Sredni (zolty)")</f>
        <v/>
      </c>
      <c r="D8" s="27" t="inlineStr">
        <is>
          <t>Druga kolejka</t>
        </is>
      </c>
    </row>
    <row r="9" ht="26" customHeight="1">
      <c r="B9" s="25" t="inlineStr">
        <is>
          <t>Z czego Niski (czerwony)</t>
        </is>
      </c>
      <c r="C9" s="32">
        <f>COUNTIF('Lista firm'!E2:E301,"Niski (czerwony)")</f>
        <v/>
      </c>
      <c r="D9" s="27" t="inlineStr">
        <is>
          <t>Pomijasz na start</t>
        </is>
      </c>
    </row>
    <row r="11" ht="26" customHeight="1">
      <c r="B11" s="25" t="inlineStr">
        <is>
          <t>Zadzwoniono (lacznie)</t>
        </is>
      </c>
      <c r="C11" s="32">
        <f>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</f>
        <v/>
      </c>
      <c r="D11" s="27" t="inlineStr">
        <is>
          <t>Liczba firm gdzie podjales probe</t>
        </is>
      </c>
    </row>
    <row r="12" ht="26" customHeight="1">
      <c r="B12" s="25" t="inlineStr">
        <is>
          <t>Rozmowa z decydentem</t>
        </is>
      </c>
      <c r="C12" s="32">
        <f>COUNTIF('Lista firm'!P2:P301,"Zadzwoniono - rozmowa")+COUNTIF('Lista firm'!P2:P301,"W kontakcie")+COUNTIF('Lista firm'!P2:P301,"Zarejestrowana")+COUNTIF('Lista firm'!P2:P301,"Odrzucona")+COUNTIF('Lista firm'!P2:P301,"Callback")</f>
        <v/>
      </c>
      <c r="D12" s="27" t="inlineStr">
        <is>
          <t>Gdzie rozmowa faktycznie sie odbyla</t>
        </is>
      </c>
    </row>
    <row r="13" ht="26" customHeight="1">
      <c r="B13" s="25" t="inlineStr">
        <is>
          <t>Zarejestrowane firmy</t>
        </is>
      </c>
      <c r="C13" s="32">
        <f>COUNTIF('Lista firm'!P2:P301,"Zarejestrowana")</f>
        <v/>
      </c>
      <c r="D13" s="27" t="inlineStr">
        <is>
          <t>TWOJE WYGRANE - ten numer rosnie</t>
        </is>
      </c>
    </row>
    <row r="14" ht="26" customHeight="1">
      <c r="B14" s="25" t="inlineStr">
        <is>
          <t>Odrzucone</t>
        </is>
      </c>
      <c r="C14" s="32">
        <f>COUNTIF('Lista firm'!P2:P301,"Odrzucona")</f>
        <v/>
      </c>
      <c r="D14" s="27" t="inlineStr">
        <is>
          <t>Uczysz sie na bledach - zobacz notatki z rozmowy</t>
        </is>
      </c>
    </row>
    <row r="15" ht="26" customHeight="1">
      <c r="B15" s="25" t="inlineStr">
        <is>
          <t>W kontakcie / callback</t>
        </is>
      </c>
      <c r="C15" s="32">
        <f>COUNTIF('Lista firm'!P2:P301,"W kontakcie")+COUNTIF('Lista firm'!P2:P301,"Callback")</f>
        <v/>
      </c>
      <c r="D15" s="27" t="inlineStr">
        <is>
          <t>Pilnuj daty follow-up - sam cie podswietli na czerwono</t>
        </is>
      </c>
    </row>
    <row r="18">
      <c r="B18" s="3" t="inlineStr">
        <is>
          <t>Konwersje (auto)</t>
        </is>
      </c>
    </row>
    <row r="19" ht="34" customHeight="1">
      <c r="B19" s="25" t="inlineStr">
        <is>
          <t>% dodzwanialnosci (decydent / zadzwoniono)</t>
        </is>
      </c>
      <c r="C19" s="33">
        <f>IFERROR((COUNTIF('Lista firm'!P2:P301,"Zadzwoniono - rozmowa")+COUNTIF('Lista firm'!P2:P301,"W kontakcie")+COUNTIF('Lista firm'!P2:P301,"Zarejestrowana")+COUNTIF('Lista firm'!P2:P301,"Odrzucona")+COUNTIF('Lista firm'!P2:P301,"Callback"))/(COUNTIF('Lista firm'!P2:P301,"Zadzwoniono - brak odbioru")+COUNTIF('Lista firm'!P2:P301,"Zadzwoniono - rozmowa")+COUNTIF('Lista firm'!P2:P301,"W kontakcie")+COUNTIF('Lista firm'!P2:P301,"Zarejestrowana")+COUNTIF('Lista firm'!P2:P301,"Odrzucona")+COUNTIF('Lista firm'!P2:P301,"Callback")),0)</f>
        <v/>
      </c>
      <c r="D19" s="27" t="inlineStr">
        <is>
          <t>Cel: 30%. Jesli &lt;20% - dzwonisz nie w tych godzinach, sprawdz [Plan tygodnia].</t>
        </is>
      </c>
    </row>
    <row r="20" ht="34" customHeight="1">
      <c r="B20" s="25" t="inlineStr">
        <is>
          <t>% rejestracji (zarejestrowana / decydent)</t>
        </is>
      </c>
      <c r="C20" s="33">
        <f>IFERROR(COUNTIF('Lista firm'!P2:P301,"Zarejestrowana")/(COUNTIF('Lista firm'!P2:P301,"Zadzwoniono - rozmowa")+COUNTIF('Lista firm'!P2:P301,"W kontakcie")+COUNTIF('Lista firm'!P2:P301,"Zarejestrowana")+COUNTIF('Lista firm'!P2:P301,"Odrzucona")+COUNTIF('Lista firm'!P2:P301,"Callback")),0)</f>
        <v/>
      </c>
      <c r="D20" s="27" t="inlineStr">
        <is>
          <t>Cel: 15-30%. Jesli &lt;10% - skrypt nie dziala, zobacz reklama/28-obsluga-obiekcji.</t>
        </is>
      </c>
    </row>
    <row r="21" ht="34" customHeight="1">
      <c r="B21" s="25" t="inlineStr">
        <is>
          <t>% end-to-end (zarejestrowana / firmy w bazie)</t>
        </is>
      </c>
      <c r="C21" s="33">
        <f>IFERROR(COUNTIF('Lista firm'!P2:P301,"Zarejestrowana")/COUNTA('Lista firm'!C2:C301),0)</f>
        <v/>
      </c>
      <c r="D21" s="27" t="inlineStr">
        <is>
          <t>Cel: 5%. Mierz na poziomie miesiacznym - pojedynczy dzien ma za malo danych.</t>
        </is>
      </c>
    </row>
  </sheetData>
  <mergeCells count="2">
    <mergeCell ref="B18:D18"/>
    <mergeCell ref="B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2026-04-23T20:43:12Z</dcterms:created>
  <dcterms:modified xmlns:dcterms="http://purl.org/dc/terms/" xmlns:xsi="http://www.w3.org/2001/XMLSchema-instance" xsi:type="dcterms:W3CDTF">2026-04-24T05:51:32Z</dcterms:modified>
</cp:coreProperties>
</file>